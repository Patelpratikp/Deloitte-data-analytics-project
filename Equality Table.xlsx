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5" activeTab="12"/>
  </bookViews>
  <sheets>
    <sheet name="SellersNew" sheetId="21" r:id="rId1"/>
    <sheet name="PivotTable" sheetId="22" r:id="rId2"/>
    <sheet name="Sell_Data" sheetId="17" r:id="rId3"/>
    <sheet name="Sellers Data" sheetId="18" r:id="rId4"/>
    <sheet name="Sheet1" sheetId="1" r:id="rId5"/>
    <sheet name="Sheet13" sheetId="14" r:id="rId6"/>
    <sheet name="School-Result" sheetId="9" r:id="rId7"/>
    <sheet name="Sheet11" sheetId="11" r:id="rId8"/>
    <sheet name="Sheet4" sheetId="12" r:id="rId9"/>
    <sheet name="Employee" sheetId="2" r:id="rId10"/>
    <sheet name="Shakra-Practice-Test-1" sheetId="25" r:id="rId11"/>
    <sheet name="Shakra-Practise-Test-2" sheetId="26" r:id="rId12"/>
    <sheet name="Equality Class" sheetId="31" r:id="rId13"/>
    <sheet name="Task-2" sheetId="28" r:id="rId14"/>
    <sheet name="Task-3" sheetId="29" r:id="rId15"/>
    <sheet name="Task-1" sheetId="27" r:id="rId16"/>
    <sheet name="Task-4" sheetId="30" r:id="rId17"/>
    <sheet name="Vlookup" sheetId="24" r:id="rId18"/>
  </sheets>
  <definedNames>
    <definedName name="Slicer_Seller_s_Name">#N/A</definedName>
    <definedName name="Slicer_Product">#N/A</definedName>
  </definedNames>
  <calcPr calcId="191029"/>
  <pivotCaches>
    <pivotCache cacheId="0" r:id="rId19"/>
  </pivotCaches>
  <extLst>
    <ext xmlns:x14="http://schemas.microsoft.com/office/spreadsheetml/2009/9/main" uri="{BBE1A952-AA13-448e-AADC-164F8A28A991}">
      <x14:slicerCaches>
        <x14:slicerCache r:id="rId21"/>
        <x14:slicerCache r:id="rId2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<sst xmlns="http://schemas.openxmlformats.org/spreadsheetml/2006/main" count="1649" uniqueCount="438">
  <si>
    <t>Seller's Name</t>
  </si>
  <si>
    <t>Region</t>
  </si>
  <si>
    <t>Product</t>
  </si>
  <si>
    <t>Sales</t>
  </si>
  <si>
    <t>Home Depo</t>
  </si>
  <si>
    <t>Central</t>
  </si>
  <si>
    <t>Pencil</t>
  </si>
  <si>
    <t>Costco</t>
  </si>
  <si>
    <t>Eraser</t>
  </si>
  <si>
    <t>BestBuy</t>
  </si>
  <si>
    <t>Notebook</t>
  </si>
  <si>
    <t>Walmart</t>
  </si>
  <si>
    <t>East</t>
  </si>
  <si>
    <t>Book</t>
  </si>
  <si>
    <t>Staples</t>
  </si>
  <si>
    <t>South</t>
  </si>
  <si>
    <t>Shopner</t>
  </si>
  <si>
    <t>Amazon</t>
  </si>
  <si>
    <t>Bag</t>
  </si>
  <si>
    <t>FlipCart</t>
  </si>
  <si>
    <t>Pen</t>
  </si>
  <si>
    <t>West</t>
  </si>
  <si>
    <t>Sum of Sales</t>
  </si>
  <si>
    <t>Grand Total</t>
  </si>
  <si>
    <t>Order Date</t>
  </si>
  <si>
    <t>Full Name</t>
  </si>
  <si>
    <t>Quantity</t>
  </si>
  <si>
    <t>Price</t>
  </si>
  <si>
    <t>Amount</t>
  </si>
  <si>
    <t>13/01/2021</t>
  </si>
  <si>
    <t>Robert Patel</t>
  </si>
  <si>
    <t>14/01/2022</t>
  </si>
  <si>
    <t>Cameron Lo</t>
  </si>
  <si>
    <t>14/02/2027</t>
  </si>
  <si>
    <t>Harper Castillo</t>
  </si>
  <si>
    <t>14/05/2025</t>
  </si>
  <si>
    <t>Harper Dominguez</t>
  </si>
  <si>
    <t>14/08/2019</t>
  </si>
  <si>
    <t>Ezra Vu</t>
  </si>
  <si>
    <t>14/12/2023</t>
  </si>
  <si>
    <t>Jade Hu</t>
  </si>
  <si>
    <t>15/01/2018</t>
  </si>
  <si>
    <t>Miles Chang</t>
  </si>
  <si>
    <t>15/03/2020</t>
  </si>
  <si>
    <t>Gianna Holmes</t>
  </si>
  <si>
    <t>15/07/2024</t>
  </si>
  <si>
    <t>Jameson Thomas</t>
  </si>
  <si>
    <t>15/07/2026</t>
  </si>
  <si>
    <t>Jameson Pena</t>
  </si>
  <si>
    <t>15/11/2022</t>
  </si>
  <si>
    <t>Bella Wu</t>
  </si>
  <si>
    <t>16/07/2023</t>
  </si>
  <si>
    <t>Jose Wong</t>
  </si>
  <si>
    <t>16/09/2020</t>
  </si>
  <si>
    <t>Lucas Richardson</t>
  </si>
  <si>
    <t>16/11/2025</t>
  </si>
  <si>
    <t>Jacob Moore</t>
  </si>
  <si>
    <t>17/02/2025</t>
  </si>
  <si>
    <t>Luna Lu</t>
  </si>
  <si>
    <t>17/04/2023</t>
  </si>
  <si>
    <t>Bella Tran</t>
  </si>
  <si>
    <t>17/05/2021</t>
  </si>
  <si>
    <t>Ivy Chau</t>
  </si>
  <si>
    <t>17/05/2027</t>
  </si>
  <si>
    <t>Jordan Kumar</t>
  </si>
  <si>
    <t>18/04/2024</t>
  </si>
  <si>
    <t>Sophia Gutierrez</t>
  </si>
  <si>
    <t>18/06/2022</t>
  </si>
  <si>
    <t>Eli Dang</t>
  </si>
  <si>
    <t>18/08/2025</t>
  </si>
  <si>
    <t>Lillian Lewis</t>
  </si>
  <si>
    <t>18/09/2018</t>
  </si>
  <si>
    <t>Serenity Cao</t>
  </si>
  <si>
    <t>18/10/2026</t>
  </si>
  <si>
    <t>Parker Lai</t>
  </si>
  <si>
    <t>19/01/2020</t>
  </si>
  <si>
    <t>Charles Simmons</t>
  </si>
  <si>
    <t>19/02/2026</t>
  </si>
  <si>
    <t>Jayden Luu</t>
  </si>
  <si>
    <t>19/10/2021</t>
  </si>
  <si>
    <t>Brooks Richardson</t>
  </si>
  <si>
    <t>19/10/2024</t>
  </si>
  <si>
    <t>Ivy Thompson</t>
  </si>
  <si>
    <t>20/10/2023</t>
  </si>
  <si>
    <t>Peyton Wright</t>
  </si>
  <si>
    <t>21/02/2024</t>
  </si>
  <si>
    <t>Wyatt Dinh</t>
  </si>
  <si>
    <t>21/06/2020</t>
  </si>
  <si>
    <t>Ruby Alexander</t>
  </si>
  <si>
    <t>21/09/2022</t>
  </si>
  <si>
    <t>Axel Oh</t>
  </si>
  <si>
    <t>22/02/2023</t>
  </si>
  <si>
    <t>Axel Ramirez</t>
  </si>
  <si>
    <t>22/03/2018</t>
  </si>
  <si>
    <t>Liliana Chang</t>
  </si>
  <si>
    <t>22/06/2025</t>
  </si>
  <si>
    <t>Leonardo Carter</t>
  </si>
  <si>
    <t>22/12/2020</t>
  </si>
  <si>
    <t>Landon Gonzales</t>
  </si>
  <si>
    <t>23/02/2022</t>
  </si>
  <si>
    <t>Amelia Dominguez</t>
  </si>
  <si>
    <t>23/05/2026</t>
  </si>
  <si>
    <t>Silas Ross</t>
  </si>
  <si>
    <t>23/08/2024</t>
  </si>
  <si>
    <t>Jeremiah Cheng</t>
  </si>
  <si>
    <t>24/08/2023</t>
  </si>
  <si>
    <t>Chloe Chin</t>
  </si>
  <si>
    <t>25/03/2025</t>
  </si>
  <si>
    <t>Ella Martinez</t>
  </si>
  <si>
    <t>25/03/2027</t>
  </si>
  <si>
    <t>Gianna Jones</t>
  </si>
  <si>
    <t>25/04/2019</t>
  </si>
  <si>
    <t>Austin Chow</t>
  </si>
  <si>
    <t>25/08/2021</t>
  </si>
  <si>
    <t>Ella Chen</t>
  </si>
  <si>
    <t>26/02/2021</t>
  </si>
  <si>
    <t>Ruby Kaur</t>
  </si>
  <si>
    <t>26/07/2022</t>
  </si>
  <si>
    <t>Savannah Morales</t>
  </si>
  <si>
    <t>26/08/2026</t>
  </si>
  <si>
    <t>Luca Powell</t>
  </si>
  <si>
    <t>27/05/2024</t>
  </si>
  <si>
    <t>Parker Thao</t>
  </si>
  <si>
    <t>27/09/2025</t>
  </si>
  <si>
    <t>Ryan Vo</t>
  </si>
  <si>
    <t>27/10/2019</t>
  </si>
  <si>
    <t>Isabella Ngo</t>
  </si>
  <si>
    <t>27/11/2021</t>
  </si>
  <si>
    <t>Leah Vega</t>
  </si>
  <si>
    <t>28/02/2020</t>
  </si>
  <si>
    <t>Jaxson Liu</t>
  </si>
  <si>
    <t>28/06/2027</t>
  </si>
  <si>
    <t>Santiago f Ross</t>
  </si>
  <si>
    <t>28/12/2022</t>
  </si>
  <si>
    <t>Layla Bell</t>
  </si>
  <si>
    <t>28/12/2025</t>
  </si>
  <si>
    <t>Bella Morales</t>
  </si>
  <si>
    <t>29/04/2022</t>
  </si>
  <si>
    <t>Eliza Kang</t>
  </si>
  <si>
    <t>29/05/2023</t>
  </si>
  <si>
    <t>Gabriel Reyes</t>
  </si>
  <si>
    <t>29/08/2020</t>
  </si>
  <si>
    <t>Piper Garcia</t>
  </si>
  <si>
    <t>29/11/2026</t>
  </si>
  <si>
    <t>Jacob Cheng</t>
  </si>
  <si>
    <t>30/06/2021</t>
  </si>
  <si>
    <t>Nathan Hong</t>
  </si>
  <si>
    <t>30/12/2018</t>
  </si>
  <si>
    <t>Chloe Kim</t>
  </si>
  <si>
    <t>05/07/2018</t>
  </si>
  <si>
    <t>Isaac Guzman</t>
  </si>
  <si>
    <t>03/12/2019</t>
  </si>
  <si>
    <t>Julian Ford</t>
  </si>
  <si>
    <t>05/09/2020</t>
  </si>
  <si>
    <t>Kinsley Liang</t>
  </si>
  <si>
    <t>11/02/2019</t>
  </si>
  <si>
    <t>Wesley Yu</t>
  </si>
  <si>
    <t>04/11/2020</t>
  </si>
  <si>
    <t>Serenity Martin</t>
  </si>
  <si>
    <t>07/05/2020</t>
  </si>
  <si>
    <t>Ethan Sanchez</t>
  </si>
  <si>
    <t>10/07/2020</t>
  </si>
  <si>
    <t>David Sanchez</t>
  </si>
  <si>
    <t>05/12/2021</t>
  </si>
  <si>
    <t>Elias Hsu</t>
  </si>
  <si>
    <t>08/09/2021</t>
  </si>
  <si>
    <t>Luca Phan</t>
  </si>
  <si>
    <t>09/04/2021</t>
  </si>
  <si>
    <t>Olivia Xi</t>
  </si>
  <si>
    <t>12/07/2021</t>
  </si>
  <si>
    <t>Alice Luu</t>
  </si>
  <si>
    <t>03/10/2022</t>
  </si>
  <si>
    <t>Leonardo Ng</t>
  </si>
  <si>
    <t>07/05/2022</t>
  </si>
  <si>
    <t>Peyton Edwards</t>
  </si>
  <si>
    <t>09/08/2022</t>
  </si>
  <si>
    <t>Axel Patel</t>
  </si>
  <si>
    <t>11/03/2022</t>
  </si>
  <si>
    <t>Eva Chavez</t>
  </si>
  <si>
    <t>02/11/2023</t>
  </si>
  <si>
    <t>Savannah Lee</t>
  </si>
  <si>
    <t>05/03/2023</t>
  </si>
  <si>
    <t>Mia Grant</t>
  </si>
  <si>
    <t>08/06/2023</t>
  </si>
  <si>
    <t>Eli Richardson</t>
  </si>
  <si>
    <t>10/01/2023</t>
  </si>
  <si>
    <t>Eloise Perry</t>
  </si>
  <si>
    <t>11/09/2023</t>
  </si>
  <si>
    <t>Ian Cheng</t>
  </si>
  <si>
    <t>01/11/2024</t>
  </si>
  <si>
    <t>Penelope Chan</t>
  </si>
  <si>
    <t>03/03/2024</t>
  </si>
  <si>
    <t>Sofia Vasquez</t>
  </si>
  <si>
    <t>06/06/2024</t>
  </si>
  <si>
    <t>Anthony Baker</t>
  </si>
  <si>
    <t>09/01/2024</t>
  </si>
  <si>
    <t>Lucas Luong</t>
  </si>
  <si>
    <t>10/09/2024</t>
  </si>
  <si>
    <t>Xavier Patel</t>
  </si>
  <si>
    <t>Robert Soto</t>
  </si>
  <si>
    <t>05/10/2025</t>
  </si>
  <si>
    <t>Nevaeh Jiang</t>
  </si>
  <si>
    <t>06/04/2025</t>
  </si>
  <si>
    <t>Chloe Reyes</t>
  </si>
  <si>
    <t>08/01/2025</t>
  </si>
  <si>
    <t>Lucy Edwards</t>
  </si>
  <si>
    <t>09/07/2025</t>
  </si>
  <si>
    <t>Luna Edwards</t>
  </si>
  <si>
    <t>02/03/2026</t>
  </si>
  <si>
    <t>Stella Daniels</t>
  </si>
  <si>
    <t>04/06/2026</t>
  </si>
  <si>
    <t>Ayla Ma</t>
  </si>
  <si>
    <t>07/01/2026</t>
  </si>
  <si>
    <t>Matthew Avila</t>
  </si>
  <si>
    <t>07/09/2026</t>
  </si>
  <si>
    <t>Gianna Lim</t>
  </si>
  <si>
    <t>Joseph Tan</t>
  </si>
  <si>
    <t>11/04/2026</t>
  </si>
  <si>
    <t>Connor Lai</t>
  </si>
  <si>
    <t>06/01/2027</t>
  </si>
  <si>
    <t>Ava Owens</t>
  </si>
  <si>
    <t>09/04/2027</t>
  </si>
  <si>
    <t>Dylan Aguilar</t>
  </si>
  <si>
    <t>Employee Data Sheet</t>
  </si>
  <si>
    <t>Employee ID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</si>
  <si>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</si>
  <si>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</si>
  <si>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</si>
  <si>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</si>
  <si>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</si>
  <si>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</si>
  <si>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</si>
  <si>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 And Bonus</t>
  </si>
  <si>
    <t>E02002</t>
  </si>
  <si>
    <t>Kai Le</t>
  </si>
  <si>
    <t>Controls Engineer</t>
  </si>
  <si>
    <t>Engineering</t>
  </si>
  <si>
    <t>Manufacturing</t>
  </si>
  <si>
    <t>Male</t>
  </si>
  <si>
    <t>Asian</t>
  </si>
  <si>
    <t>47</t>
  </si>
  <si>
    <t>E02012</t>
  </si>
  <si>
    <t>Systems Analyst</t>
  </si>
  <si>
    <t>IT</t>
  </si>
  <si>
    <t>Latino</t>
  </si>
  <si>
    <t>E02003</t>
  </si>
  <si>
    <t>Analyst</t>
  </si>
  <si>
    <t>Corporate</t>
  </si>
  <si>
    <t>E02019</t>
  </si>
  <si>
    <t>Specialty Products</t>
  </si>
  <si>
    <t>Female</t>
  </si>
  <si>
    <t>E02017</t>
  </si>
  <si>
    <t>IT Systems Architect</t>
  </si>
  <si>
    <t>E02007</t>
  </si>
  <si>
    <t>Network Administrator</t>
  </si>
  <si>
    <t>E02009</t>
  </si>
  <si>
    <t>Analyst II</t>
  </si>
  <si>
    <t>Finance</t>
  </si>
  <si>
    <t>Director</t>
  </si>
  <si>
    <t>E02013</t>
  </si>
  <si>
    <t>Sr. Analyst</t>
  </si>
  <si>
    <t>E02023</t>
  </si>
  <si>
    <t>Technical Architect</t>
  </si>
  <si>
    <t>Research &amp; Development</t>
  </si>
  <si>
    <t>Black</t>
  </si>
  <si>
    <t>E02004</t>
  </si>
  <si>
    <t>E02008</t>
  </si>
  <si>
    <t>Accounting</t>
  </si>
  <si>
    <t>E02020</t>
  </si>
  <si>
    <t>Service Desk Analyst</t>
  </si>
  <si>
    <t>E02010</t>
  </si>
  <si>
    <t xml:space="preserve">System Administrator </t>
  </si>
  <si>
    <t>Caucasian</t>
  </si>
  <si>
    <t>E02005</t>
  </si>
  <si>
    <t>E02021</t>
  </si>
  <si>
    <t>Manager</t>
  </si>
  <si>
    <t>E02011</t>
  </si>
  <si>
    <t>E02015</t>
  </si>
  <si>
    <t>Marketing</t>
  </si>
  <si>
    <t>E02022</t>
  </si>
  <si>
    <t>Sr. Manager</t>
  </si>
  <si>
    <t>E02016</t>
  </si>
  <si>
    <t>E02014</t>
  </si>
  <si>
    <t>E02006</t>
  </si>
  <si>
    <t>E02018</t>
  </si>
  <si>
    <t>Vice President</t>
  </si>
  <si>
    <t>Target</t>
  </si>
  <si>
    <t>Commission</t>
  </si>
  <si>
    <t>Kai Lei</t>
  </si>
  <si>
    <t>Robert Pat</t>
  </si>
  <si>
    <t>Cameron</t>
  </si>
  <si>
    <t>Harper Cas</t>
  </si>
  <si>
    <t>HarperDo</t>
  </si>
  <si>
    <t>Miles Char</t>
  </si>
  <si>
    <t>Gianna Ho</t>
  </si>
  <si>
    <t>Jameson T</t>
  </si>
  <si>
    <t>Jameson P</t>
  </si>
  <si>
    <t>Charles Sir</t>
  </si>
  <si>
    <t>Lucas Rich</t>
  </si>
  <si>
    <t>Jacob Moc</t>
  </si>
  <si>
    <t>Jorden Kur</t>
  </si>
  <si>
    <t>Sophoa Gur</t>
  </si>
  <si>
    <t>Lillian Lew</t>
  </si>
  <si>
    <t>Serenity C</t>
  </si>
  <si>
    <t>School Result</t>
  </si>
  <si>
    <t>Name</t>
  </si>
  <si>
    <t>Father's Name</t>
  </si>
  <si>
    <t>English</t>
  </si>
  <si>
    <t>Sanskrit</t>
  </si>
  <si>
    <t>Hindi</t>
  </si>
  <si>
    <t>Math</t>
  </si>
  <si>
    <t>Science</t>
  </si>
  <si>
    <t>Gujarati</t>
  </si>
  <si>
    <t>Ramesh</t>
  </si>
  <si>
    <t>Mr.Mohan</t>
  </si>
  <si>
    <t>Manish</t>
  </si>
  <si>
    <t>Mr.Sohan</t>
  </si>
  <si>
    <t>Pratik</t>
  </si>
  <si>
    <t>Mr.Shah</t>
  </si>
  <si>
    <t>Chetan</t>
  </si>
  <si>
    <t>Mr.Rohit</t>
  </si>
  <si>
    <t>Ketan</t>
  </si>
  <si>
    <t>Mr.Mohit</t>
  </si>
  <si>
    <t>Shiva</t>
  </si>
  <si>
    <t>Mr.Patel</t>
  </si>
  <si>
    <t>Jaydev</t>
  </si>
  <si>
    <t>Mr.Roy</t>
  </si>
  <si>
    <t>Mobile Number</t>
  </si>
  <si>
    <t>Rate</t>
  </si>
  <si>
    <t>Employee</t>
  </si>
  <si>
    <t>E02026</t>
  </si>
  <si>
    <t>E02024</t>
  </si>
  <si>
    <t>E02025</t>
  </si>
  <si>
    <t>Sales 2022</t>
  </si>
  <si>
    <t>Sales 2023</t>
  </si>
  <si>
    <t>Sales Target 2023</t>
  </si>
  <si>
    <t>Question - 1</t>
  </si>
  <si>
    <t>What was the sales target of employee ID '111' in 2023? Use two different Formulas.</t>
  </si>
  <si>
    <t>HR</t>
  </si>
  <si>
    <t>Answer - 1</t>
  </si>
  <si>
    <t>Answer - 2</t>
  </si>
  <si>
    <t>Question - 2</t>
  </si>
  <si>
    <t>Extract the first two letters from any department name in the dataset.</t>
  </si>
  <si>
    <t>Answer</t>
  </si>
  <si>
    <t>Question - 3</t>
  </si>
  <si>
    <t>Determine the sales target for the employee who achieved the highest sales in 2023.</t>
  </si>
  <si>
    <t>Question - 4</t>
  </si>
  <si>
    <t>Retrieve the total sales from 2022 for "IT" department without using direct references.</t>
  </si>
  <si>
    <t>Question - 5</t>
  </si>
  <si>
    <t>How many employees from the IT and Marketing departments combined are there in the dataset?</t>
  </si>
  <si>
    <t>Question - 6</t>
  </si>
  <si>
    <t>Apply conditional formatting to highlight rows of all employees who exceeded their 2023 sales target.</t>
  </si>
  <si>
    <t>Zone</t>
  </si>
  <si>
    <t>Month</t>
  </si>
  <si>
    <t>City Code</t>
  </si>
  <si>
    <t>City</t>
  </si>
  <si>
    <t>Category</t>
  </si>
  <si>
    <t>Sales Units</t>
  </si>
  <si>
    <t>Margin</t>
  </si>
  <si>
    <t>LY Monthly Sales</t>
  </si>
  <si>
    <t>LY Monthly Sales Units</t>
  </si>
  <si>
    <t>LY Monthly Margin</t>
  </si>
  <si>
    <t>January</t>
  </si>
  <si>
    <t>Mumbai</t>
  </si>
  <si>
    <t>Winter Wear</t>
  </si>
  <si>
    <t>Beach Wear</t>
  </si>
  <si>
    <t>Hoodie</t>
  </si>
  <si>
    <t>Tees</t>
  </si>
  <si>
    <t>Jeans</t>
  </si>
  <si>
    <t>Kolkata</t>
  </si>
  <si>
    <t>Chennai</t>
  </si>
  <si>
    <t>Bangalore</t>
  </si>
  <si>
    <t>North</t>
  </si>
  <si>
    <t>Delhi</t>
  </si>
  <si>
    <t>February</t>
  </si>
  <si>
    <t>March</t>
  </si>
  <si>
    <t>April</t>
  </si>
  <si>
    <t>May</t>
  </si>
  <si>
    <t>Factory</t>
  </si>
  <si>
    <t>Job Role</t>
  </si>
  <si>
    <t>Equality Score</t>
  </si>
  <si>
    <t>Equality class</t>
  </si>
  <si>
    <t>Daikibo Factory Meiyo</t>
  </si>
  <si>
    <t>C-Level</t>
  </si>
  <si>
    <t>VP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</si>
  <si>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</si>
  <si>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</si>
  <si>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</si>
  <si>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</si>
  <si>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</si>
  <si>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</si>
  <si>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</si>
  <si>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</si>
  <si>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</si>
  <si>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Add a best suitable chart for Sales, LY Sales &amp; Margin Rate (only one chart)</t>
  </si>
  <si>
    <t>LY Sales</t>
  </si>
  <si>
    <t>Margin Rate</t>
  </si>
  <si>
    <t>Hint: Margin rate=(Margin/Sales)*100</t>
  </si>
  <si>
    <t>Add a pivot table for for each Zone/City, include sales,margin,margin rate, add slicer for Month, sort by sales</t>
  </si>
  <si>
    <t>Q1. Calculate Total Sales &amp; Total Sales Units</t>
  </si>
  <si>
    <t>Total Sales</t>
  </si>
  <si>
    <t>Total Sales Unit</t>
  </si>
  <si>
    <t>Q2. Fill in below tables with Sales</t>
  </si>
  <si>
    <t>City Name</t>
  </si>
  <si>
    <t>Jan</t>
  </si>
  <si>
    <t>Feb</t>
  </si>
  <si>
    <t>Mar</t>
  </si>
  <si>
    <t>Q3</t>
  </si>
  <si>
    <t>Can you filter your data only for West region where Sales Unit is greater than 7000</t>
  </si>
  <si>
    <t>LY Weekly Sales</t>
  </si>
  <si>
    <t>LY Weekly Sales Units</t>
  </si>
  <si>
    <t>LY Weekly Margin</t>
  </si>
  <si>
    <t>Product Table</t>
  </si>
  <si>
    <t>Order Table</t>
  </si>
  <si>
    <t>Student Name</t>
  </si>
  <si>
    <t>Subject</t>
  </si>
  <si>
    <t>Marks</t>
  </si>
  <si>
    <t>How many records would results in each of the following conditions?</t>
  </si>
  <si>
    <t>Alex</t>
  </si>
  <si>
    <t>Product Id</t>
  </si>
  <si>
    <t>Product Name</t>
  </si>
  <si>
    <t>Order Id</t>
  </si>
  <si>
    <t>Qty</t>
  </si>
  <si>
    <t>Table 1</t>
  </si>
  <si>
    <t>Table 2</t>
  </si>
  <si>
    <t>Munch</t>
  </si>
  <si>
    <t>Num</t>
  </si>
  <si>
    <t>Geography</t>
  </si>
  <si>
    <t>Bournville</t>
  </si>
  <si>
    <t>Bob</t>
  </si>
  <si>
    <t>Kitkat</t>
  </si>
  <si>
    <t>Dairy Milk</t>
  </si>
  <si>
    <t>Charlie</t>
  </si>
  <si>
    <t>Left Join</t>
  </si>
  <si>
    <t>Q: Find out student name who secures highest marks for each subject using SQL query</t>
  </si>
  <si>
    <t>Q: Find products that were never purchased by any customers using SQL Query</t>
  </si>
  <si>
    <t>Right Join</t>
  </si>
  <si>
    <t>Inner Join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</si>
</sst>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_ [$₹-4009]\ * #,##0.00_ ;_ [$₹-4009]\ * \-#,##0.00_ ;_ [$₹-4009]\ * &quot;-&quot;??_ ;_ @_ "/>
    <numFmt numFmtId="179" formatCode="yyyy/mm/dd;@"/>
  </numFmts>
  <fonts count="48">
    <font>
      <sz val="11"/>
      <color theme="1"/>
      <name val="Calibri"/>
      <charset val="134"/>
      <scheme val="minor"/>
    </font>
    <font>
      <b/>
      <sz val="11"/>
      <color rgb="FF000000"/>
      <name val="Abadi"/>
      <charset val="134"/>
    </font>
    <font>
      <b/>
      <sz val="11"/>
      <color theme="1"/>
      <name val="Abadi"/>
      <charset val="134"/>
    </font>
    <font>
      <b/>
      <sz val="16"/>
      <color rgb="FF000000"/>
      <name val="Abadi"/>
      <charset val="134"/>
    </font>
    <font>
      <b/>
      <sz val="16"/>
      <color theme="1"/>
      <name val="Abadi"/>
      <charset val="134"/>
    </font>
    <font>
      <sz val="10"/>
      <color theme="1"/>
      <name val="Arial"/>
      <charset val="1"/>
    </font>
    <font>
      <sz val="12"/>
      <color theme="1"/>
      <name val="Times New Roman"/>
      <charset val="1"/>
    </font>
    <font>
      <b/>
      <sz val="11"/>
      <color theme="1"/>
      <name val="Aptos Narrow"/>
      <charset val="1"/>
    </font>
    <font>
      <b/>
      <sz val="9"/>
      <color theme="1"/>
      <name val="Arial"/>
      <charset val="1"/>
    </font>
    <font>
      <i/>
      <sz val="8"/>
      <color theme="1"/>
      <name val="Arial"/>
      <charset val="1"/>
    </font>
    <font>
      <sz val="14"/>
      <color rgb="FF000000"/>
      <name val="Arial"/>
      <charset val="134"/>
    </font>
    <font>
      <sz val="10"/>
      <color rgb="FF000000"/>
      <name val="Arial"/>
      <charset val="134"/>
    </font>
    <font>
      <b/>
      <sz val="9"/>
      <color rgb="FFFFFFFF"/>
      <name val="Arial"/>
      <charset val="1"/>
    </font>
    <font>
      <sz val="9"/>
      <color theme="1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28"/>
      <color theme="3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4"/>
      <color theme="0"/>
      <name val="Arial"/>
      <charset val="134"/>
    </font>
    <font>
      <sz val="11"/>
      <color rgb="FF000000"/>
      <name val="Calibri"/>
      <charset val="134"/>
    </font>
    <font>
      <sz val="10"/>
      <color rgb="FF000000"/>
      <name val="MS Sans Serif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134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3" borderId="2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4" borderId="27" applyNumberFormat="0" applyAlignment="0" applyProtection="0">
      <alignment vertical="center"/>
    </xf>
    <xf numFmtId="0" fontId="38" fillId="15" borderId="28" applyNumberFormat="0" applyAlignment="0" applyProtection="0">
      <alignment vertical="center"/>
    </xf>
    <xf numFmtId="0" fontId="39" fillId="15" borderId="27" applyNumberFormat="0" applyAlignment="0" applyProtection="0">
      <alignment vertical="center"/>
    </xf>
    <xf numFmtId="0" fontId="40" fillId="16" borderId="29" applyNumberFormat="0" applyAlignment="0" applyProtection="0">
      <alignment vertical="center"/>
    </xf>
    <xf numFmtId="0" fontId="41" fillId="0" borderId="30" applyNumberFormat="0" applyFill="0" applyAlignment="0" applyProtection="0">
      <alignment vertical="center"/>
    </xf>
    <xf numFmtId="0" fontId="42" fillId="0" borderId="31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</cellStyleXfs>
  <cellXfs count="9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readingOrder="1"/>
    </xf>
    <xf numFmtId="0" fontId="5" fillId="0" borderId="0" xfId="0" applyFont="1" applyBorder="1" applyAlignment="1">
      <alignment readingOrder="1"/>
    </xf>
    <xf numFmtId="0" fontId="5" fillId="3" borderId="2" xfId="0" applyFont="1" applyFill="1" applyBorder="1" applyAlignment="1">
      <alignment readingOrder="1"/>
    </xf>
    <xf numFmtId="0" fontId="5" fillId="3" borderId="3" xfId="0" applyFont="1" applyFill="1" applyBorder="1" applyAlignment="1">
      <alignment readingOrder="1"/>
    </xf>
    <xf numFmtId="0" fontId="5" fillId="0" borderId="3" xfId="0" applyFont="1" applyBorder="1" applyAlignment="1">
      <alignment readingOrder="1"/>
    </xf>
    <xf numFmtId="0" fontId="6" fillId="0" borderId="0" xfId="0" applyFont="1" applyAlignment="1">
      <alignment readingOrder="1"/>
    </xf>
    <xf numFmtId="0" fontId="5" fillId="0" borderId="2" xfId="0" applyFont="1" applyBorder="1" applyAlignment="1">
      <alignment readingOrder="1"/>
    </xf>
    <xf numFmtId="0" fontId="5" fillId="0" borderId="4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8" fillId="3" borderId="2" xfId="0" applyFont="1" applyFill="1" applyBorder="1" applyAlignment="1">
      <alignment readingOrder="1"/>
    </xf>
    <xf numFmtId="0" fontId="9" fillId="0" borderId="0" xfId="0" applyFont="1" applyAlignment="1">
      <alignment readingOrder="1"/>
    </xf>
    <xf numFmtId="0" fontId="10" fillId="0" borderId="8" xfId="0" applyFont="1" applyFill="1" applyBorder="1" applyAlignment="1"/>
    <xf numFmtId="0" fontId="11" fillId="0" borderId="8" xfId="0" applyFont="1" applyFill="1" applyBorder="1" applyAlignment="1"/>
    <xf numFmtId="0" fontId="12" fillId="4" borderId="8" xfId="0" applyFont="1" applyFill="1" applyBorder="1" applyAlignment="1">
      <alignment readingOrder="1"/>
    </xf>
    <xf numFmtId="0" fontId="12" fillId="4" borderId="9" xfId="0" applyFont="1" applyFill="1" applyBorder="1" applyAlignment="1">
      <alignment readingOrder="1"/>
    </xf>
    <xf numFmtId="0" fontId="13" fillId="0" borderId="10" xfId="0" applyFont="1" applyBorder="1" applyAlignment="1">
      <alignment readingOrder="1"/>
    </xf>
    <xf numFmtId="0" fontId="13" fillId="0" borderId="2" xfId="0" applyFont="1" applyBorder="1" applyAlignment="1">
      <alignment readingOrder="1"/>
    </xf>
    <xf numFmtId="0" fontId="14" fillId="5" borderId="8" xfId="0" applyFont="1" applyFill="1" applyBorder="1" applyAlignment="1">
      <alignment horizontal="center" wrapText="1" readingOrder="1"/>
    </xf>
    <xf numFmtId="0" fontId="14" fillId="5" borderId="11" xfId="0" applyFont="1" applyFill="1" applyBorder="1" applyAlignment="1">
      <alignment horizontal="center" wrapText="1" readingOrder="1"/>
    </xf>
    <xf numFmtId="0" fontId="15" fillId="0" borderId="12" xfId="0" applyFont="1" applyBorder="1" applyAlignment="1">
      <alignment horizontal="left" wrapText="1" readingOrder="1"/>
    </xf>
    <xf numFmtId="0" fontId="15" fillId="0" borderId="13" xfId="0" applyFont="1" applyBorder="1" applyAlignment="1">
      <alignment horizontal="left" wrapText="1" readingOrder="1"/>
    </xf>
    <xf numFmtId="0" fontId="14" fillId="6" borderId="14" xfId="0" applyFont="1" applyFill="1" applyBorder="1" applyAlignment="1">
      <alignment wrapText="1" readingOrder="1"/>
    </xf>
    <xf numFmtId="0" fontId="15" fillId="0" borderId="15" xfId="0" applyFont="1" applyBorder="1" applyAlignment="1">
      <alignment readingOrder="1"/>
    </xf>
    <xf numFmtId="0" fontId="15" fillId="0" borderId="11" xfId="0" applyFont="1" applyBorder="1" applyAlignment="1">
      <alignment readingOrder="1"/>
    </xf>
    <xf numFmtId="0" fontId="16" fillId="0" borderId="16" xfId="0" applyFont="1" applyBorder="1" applyAlignment="1">
      <alignment readingOrder="1"/>
    </xf>
    <xf numFmtId="0" fontId="16" fillId="0" borderId="17" xfId="0" applyFont="1" applyBorder="1" applyAlignment="1">
      <alignment readingOrder="1"/>
    </xf>
    <xf numFmtId="0" fontId="16" fillId="0" borderId="18" xfId="0" applyFont="1" applyBorder="1" applyAlignment="1">
      <alignment readingOrder="1"/>
    </xf>
    <xf numFmtId="0" fontId="16" fillId="7" borderId="12" xfId="0" applyFont="1" applyFill="1" applyBorder="1" applyAlignment="1">
      <alignment readingOrder="1"/>
    </xf>
    <xf numFmtId="0" fontId="15" fillId="0" borderId="13" xfId="0" applyFont="1" applyBorder="1" applyAlignment="1">
      <alignment readingOrder="1"/>
    </xf>
    <xf numFmtId="0" fontId="16" fillId="7" borderId="13" xfId="0" applyFont="1" applyFill="1" applyBorder="1" applyAlignment="1">
      <alignment readingOrder="1"/>
    </xf>
    <xf numFmtId="0" fontId="15" fillId="0" borderId="19" xfId="0" applyFont="1" applyBorder="1" applyAlignment="1">
      <alignment readingOrder="1"/>
    </xf>
    <xf numFmtId="0" fontId="15" fillId="0" borderId="13" xfId="0" applyFont="1" applyBorder="1" applyAlignment="1">
      <alignment wrapText="1" readingOrder="1"/>
    </xf>
    <xf numFmtId="0" fontId="4" fillId="2" borderId="20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8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8" fontId="0" fillId="0" borderId="8" xfId="0" applyNumberFormat="1" applyFill="1" applyBorder="1" applyAlignment="1">
      <alignment horizontal="center"/>
    </xf>
    <xf numFmtId="0" fontId="0" fillId="0" borderId="8" xfId="0" applyNumberFormat="1" applyFill="1" applyBorder="1" applyAlignment="1">
      <alignment horizontal="center"/>
    </xf>
    <xf numFmtId="178" fontId="0" fillId="0" borderId="8" xfId="0" applyNumberFormat="1" applyFill="1" applyBorder="1" applyAlignment="1"/>
    <xf numFmtId="49" fontId="0" fillId="0" borderId="0" xfId="0" applyNumberFormat="1"/>
    <xf numFmtId="0" fontId="0" fillId="8" borderId="8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19" fillId="9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20" fillId="10" borderId="0" xfId="0" applyFont="1" applyFill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21" fillId="11" borderId="21" xfId="0" applyFont="1" applyFill="1" applyBorder="1" applyAlignment="1">
      <alignment horizontal="left" vertical="top"/>
    </xf>
    <xf numFmtId="179" fontId="21" fillId="11" borderId="21" xfId="0" applyNumberFormat="1" applyFont="1" applyFill="1" applyBorder="1" applyAlignment="1">
      <alignment horizontal="right" vertical="top"/>
    </xf>
    <xf numFmtId="0" fontId="21" fillId="11" borderId="22" xfId="0" applyFont="1" applyFill="1" applyBorder="1" applyAlignment="1">
      <alignment horizontal="left" vertical="top" wrapText="1"/>
    </xf>
    <xf numFmtId="0" fontId="0" fillId="0" borderId="21" xfId="0" applyFont="1" applyBorder="1" applyAlignment="1">
      <alignment horizontal="left"/>
    </xf>
    <xf numFmtId="58" fontId="0" fillId="0" borderId="21" xfId="0" applyNumberFormat="1" applyFont="1" applyBorder="1" applyAlignment="1">
      <alignment horizontal="right"/>
    </xf>
    <xf numFmtId="0" fontId="0" fillId="0" borderId="22" xfId="0" applyFont="1" applyBorder="1" applyAlignment="1">
      <alignment horizontal="left"/>
    </xf>
    <xf numFmtId="1" fontId="0" fillId="0" borderId="2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3" xfId="0" applyFont="1" applyBorder="1" applyAlignment="1">
      <alignment horizontal="left"/>
    </xf>
    <xf numFmtId="58" fontId="0" fillId="0" borderId="23" xfId="0" applyNumberFormat="1" applyFont="1" applyBorder="1" applyAlignment="1">
      <alignment horizontal="right"/>
    </xf>
    <xf numFmtId="0" fontId="0" fillId="0" borderId="8" xfId="0" applyFont="1" applyBorder="1" applyAlignment="1">
      <alignment horizontal="left"/>
    </xf>
    <xf numFmtId="1" fontId="0" fillId="0" borderId="0" xfId="0" applyNumberFormat="1"/>
    <xf numFmtId="0" fontId="22" fillId="12" borderId="8" xfId="0" applyFont="1" applyFill="1" applyBorder="1" applyAlignment="1">
      <alignment horizontal="center"/>
    </xf>
    <xf numFmtId="0" fontId="22" fillId="12" borderId="8" xfId="0" applyFont="1" applyFill="1" applyBorder="1" applyAlignment="1">
      <alignment horizontal="left"/>
    </xf>
    <xf numFmtId="0" fontId="0" fillId="0" borderId="8" xfId="0" applyFont="1" applyBorder="1" applyAlignment="1">
      <alignment horizontal="right"/>
    </xf>
    <xf numFmtId="0" fontId="23" fillId="0" borderId="8" xfId="0" applyFont="1" applyBorder="1" applyAlignment="1">
      <alignment horizontal="left"/>
    </xf>
    <xf numFmtId="0" fontId="24" fillId="0" borderId="8" xfId="0" applyFont="1" applyBorder="1" applyAlignment="1"/>
    <xf numFmtId="0" fontId="25" fillId="0" borderId="8" xfId="0" applyFont="1" applyBorder="1" applyAlignment="1"/>
    <xf numFmtId="3" fontId="26" fillId="0" borderId="8" xfId="0" applyNumberFormat="1" applyFont="1" applyBorder="1" applyAlignment="1"/>
    <xf numFmtId="0" fontId="27" fillId="0" borderId="0" xfId="0" applyFont="1"/>
    <xf numFmtId="0" fontId="0" fillId="0" borderId="0" xfId="0" applyFont="1" applyBorder="1" applyAlignment="1">
      <alignment horizontal="right"/>
    </xf>
    <xf numFmtId="0" fontId="23" fillId="0" borderId="0" xfId="0" applyFont="1" applyBorder="1" applyAlignment="1"/>
    <xf numFmtId="0" fontId="24" fillId="0" borderId="0" xfId="0" applyFont="1" applyBorder="1" applyAlignment="1"/>
    <xf numFmtId="0" fontId="25" fillId="0" borderId="0" xfId="0" applyFont="1" applyBorder="1" applyAlignment="1"/>
    <xf numFmtId="3" fontId="26" fillId="0" borderId="0" xfId="0" applyNumberFormat="1" applyFont="1" applyBorder="1" applyAlignment="1"/>
    <xf numFmtId="58" fontId="0" fillId="0" borderId="0" xfId="0" applyNumberFormat="1" applyFont="1" applyBorder="1" applyAlignment="1">
      <alignment horizontal="right"/>
    </xf>
    <xf numFmtId="0" fontId="0" fillId="0" borderId="10" xfId="0" applyBorder="1"/>
    <xf numFmtId="0" fontId="22" fillId="12" borderId="9" xfId="0" applyFont="1" applyFill="1" applyBorder="1" applyAlignment="1">
      <alignment horizontal="center"/>
    </xf>
    <xf numFmtId="0" fontId="23" fillId="0" borderId="2" xfId="0" applyFont="1" applyBorder="1" applyAlignment="1"/>
    <xf numFmtId="0" fontId="24" fillId="0" borderId="10" xfId="0" applyFont="1" applyBorder="1" applyAlignment="1"/>
    <xf numFmtId="0" fontId="25" fillId="0" borderId="10" xfId="0" applyFont="1" applyBorder="1" applyAlignment="1"/>
    <xf numFmtId="3" fontId="26" fillId="0" borderId="10" xfId="0" applyNumberFormat="1" applyFont="1" applyBorder="1" applyAlignment="1"/>
    <xf numFmtId="0" fontId="23" fillId="0" borderId="9" xfId="0" applyFont="1" applyBorder="1" applyAlignment="1"/>
    <xf numFmtId="58" fontId="0" fillId="0" borderId="8" xfId="0" applyNumberFormat="1" applyFont="1" applyBorder="1" applyAlignment="1">
      <alignment horizontal="right"/>
    </xf>
    <xf numFmtId="0" fontId="23" fillId="0" borderId="8" xfId="0" applyFont="1" applyBorder="1" applyAlignment="1"/>
    <xf numFmtId="10" fontId="0" fillId="0" borderId="0" xfId="0" applyNumberFormat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0" formatCode="m/d/yyyy"/>
      <alignment horizontal="right"/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MS Sans Serif"/>
        <scheme val="none"/>
        <charset val="134"/>
        <b val="0"/>
        <i val="0"/>
        <strike val="0"/>
        <u val="none"/>
        <sz val="10"/>
        <color rgb="FF000000"/>
      </font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1"/>
        <color rgb="FF000000"/>
      </font>
      <numFmt numFmtId="3" formatCode="#,##0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fill>
        <patternFill patternType="none"/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Arial"/>
        <scheme val="none"/>
        <charset val="1"/>
        <b val="0"/>
        <i val="0"/>
        <strike val="0"/>
        <u val="none"/>
        <sz val="10"/>
        <color theme="1"/>
      </font>
      <alignment readingOrder="1"/>
      <border>
        <left/>
        <right style="thin">
          <color rgb="FF000000"/>
        </right>
        <top/>
        <bottom style="thin">
          <color rgb="FF000000"/>
        </bottom>
      </border>
    </dxf>
    <dxf>
      <font>
        <name val="Arial"/>
        <scheme val="none"/>
        <charset val="1"/>
        <b val="0"/>
        <i val="0"/>
        <strike val="0"/>
        <u val="none"/>
        <sz val="10"/>
        <color theme="1"/>
      </font>
      <alignment readingOrder="1"/>
      <border>
        <left/>
        <right style="thin">
          <color rgb="FF000000"/>
        </right>
        <top/>
        <bottom style="thin">
          <color rgb="FF000000"/>
        </bottom>
      </border>
    </dxf>
    <dxf>
      <font>
        <name val="Arial"/>
        <scheme val="none"/>
        <charset val="1"/>
        <b val="0"/>
        <i val="0"/>
        <strike val="0"/>
        <u val="none"/>
        <sz val="10"/>
        <color theme="1"/>
      </font>
      <alignment readingOrder="1"/>
      <border>
        <left/>
        <right/>
        <top/>
        <bottom style="thin">
          <color rgb="FF000000"/>
        </bottom>
      </border>
    </dxf>
  </dxfs>
  <tableStyles count="0" defaultTableStyle="TableStyleMedium2" defaultPivotStyle="PivotStyleMedium9"/>
  <colors>
    <mruColors>
      <color rgb="00018C4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eetMetadata" Target="metadata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microsoft.com/office/2007/relationships/slicerCache" Target="slicerCaches/slicerCache2.xml"/><Relationship Id="rId20" Type="http://schemas.microsoft.com/office/2007/relationships/slicerCache" Target="slicerCaches/slicerCache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Sheet11!$B$2:$B$8</c:f>
              <c:numCache>
                <c:formatCode>General</c:formatCode>
                <c:ptCount val="7"/>
                <c:pt idx="0">
                  <c:v>35</c:v>
                </c:pt>
                <c:pt idx="1">
                  <c:v>55</c:v>
                </c:pt>
                <c:pt idx="2">
                  <c:v>67</c:v>
                </c:pt>
                <c:pt idx="3">
                  <c:v>64</c:v>
                </c:pt>
                <c:pt idx="4">
                  <c:v>78</c:v>
                </c:pt>
                <c:pt idx="5">
                  <c:v>88</c:v>
                </c:pt>
                <c:pt idx="6">
                  <c:v>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Sanskrit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Sheet11!$C$2:$C$8</c:f>
              <c:numCache>
                <c:formatCode>General</c:formatCode>
                <c:ptCount val="7"/>
                <c:pt idx="0">
                  <c:v>45</c:v>
                </c:pt>
                <c:pt idx="1">
                  <c:v>65</c:v>
                </c:pt>
                <c:pt idx="2">
                  <c:v>88</c:v>
                </c:pt>
                <c:pt idx="3">
                  <c:v>75</c:v>
                </c:pt>
                <c:pt idx="4">
                  <c:v>46</c:v>
                </c:pt>
                <c:pt idx="5">
                  <c:v>78</c:v>
                </c:pt>
                <c:pt idx="6">
                  <c:v>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Sheet11!$D$1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Sheet11!$D$2:$D$8</c:f>
              <c:numCache>
                <c:formatCode>General</c:formatCode>
                <c:ptCount val="7"/>
                <c:pt idx="0">
                  <c:v>65</c:v>
                </c:pt>
                <c:pt idx="1">
                  <c:v>74</c:v>
                </c:pt>
                <c:pt idx="2">
                  <c:v>76</c:v>
                </c:pt>
                <c:pt idx="3">
                  <c:v>86</c:v>
                </c:pt>
                <c:pt idx="4">
                  <c:v>66</c:v>
                </c:pt>
                <c:pt idx="5">
                  <c:v>48</c:v>
                </c:pt>
                <c:pt idx="6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Sheet11!$E$1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Sheet11!$E$2:$E$8</c:f>
              <c:numCache>
                <c:formatCode>General</c:formatCode>
                <c:ptCount val="7"/>
                <c:pt idx="0">
                  <c:v>77</c:v>
                </c:pt>
                <c:pt idx="1">
                  <c:v>80</c:v>
                </c:pt>
                <c:pt idx="2">
                  <c:v>79</c:v>
                </c:pt>
                <c:pt idx="3">
                  <c:v>75</c:v>
                </c:pt>
                <c:pt idx="4">
                  <c:v>90</c:v>
                </c:pt>
                <c:pt idx="5">
                  <c:v>95</c:v>
                </c:pt>
                <c:pt idx="6">
                  <c:v>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Sheet11!$F$1</c:f>
              <c:strCache>
                <c:ptCount val="1"/>
                <c:pt idx="0">
                  <c:v>Science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Sheet11!$F$2:$F$8</c:f>
              <c:numCache>
                <c:formatCode>General</c:formatCode>
                <c:ptCount val="7"/>
                <c:pt idx="0">
                  <c:v>95</c:v>
                </c:pt>
                <c:pt idx="1">
                  <c:v>85</c:v>
                </c:pt>
                <c:pt idx="2">
                  <c:v>99</c:v>
                </c:pt>
                <c:pt idx="3">
                  <c:v>90</c:v>
                </c:pt>
                <c:pt idx="4">
                  <c:v>77</c:v>
                </c:pt>
                <c:pt idx="5">
                  <c:v>89</c:v>
                </c:pt>
                <c:pt idx="6">
                  <c:v>56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Sheet11!$G$1</c:f>
              <c:strCache>
                <c:ptCount val="1"/>
                <c:pt idx="0">
                  <c:v>Gujarati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Sheet11!$G$2:$G$8</c:f>
              <c:numCache>
                <c:formatCode>General</c:formatCode>
                <c:ptCount val="7"/>
                <c:pt idx="0">
                  <c:v>77</c:v>
                </c:pt>
                <c:pt idx="1">
                  <c:v>79</c:v>
                </c:pt>
                <c:pt idx="2">
                  <c:v>89</c:v>
                </c:pt>
                <c:pt idx="3">
                  <c:v>85</c:v>
                </c:pt>
                <c:pt idx="4">
                  <c:v>69</c:v>
                </c:pt>
                <c:pt idx="5">
                  <c:v>88</c:v>
                </c:pt>
                <c:pt idx="6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42494215"/>
        <c:axId val="1942508551"/>
      </c:lineChart>
      <c:catAx>
        <c:axId val="1942494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2508551"/>
        <c:crosses val="autoZero"/>
        <c:auto val="1"/>
        <c:lblAlgn val="ctr"/>
        <c:lblOffset val="100"/>
        <c:noMultiLvlLbl val="0"/>
      </c:catAx>
      <c:valAx>
        <c:axId val="1942508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249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0cda7a-d219-4c68-8392-5c7945f5df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Sheet11!$B$2:$B$8</c:f>
              <c:numCache>
                <c:formatCode>General</c:formatCode>
                <c:ptCount val="7"/>
                <c:pt idx="0">
                  <c:v>35</c:v>
                </c:pt>
                <c:pt idx="1">
                  <c:v>55</c:v>
                </c:pt>
                <c:pt idx="2">
                  <c:v>67</c:v>
                </c:pt>
                <c:pt idx="3">
                  <c:v>64</c:v>
                </c:pt>
                <c:pt idx="4">
                  <c:v>78</c:v>
                </c:pt>
                <c:pt idx="5">
                  <c:v>88</c:v>
                </c:pt>
                <c:pt idx="6">
                  <c:v>56</c:v>
                </c:pt>
              </c:numCache>
            </c:numRef>
          </c:val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Sanskrit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Sheet11!$C$2:$C$8</c:f>
              <c:numCache>
                <c:formatCode>General</c:formatCode>
                <c:ptCount val="7"/>
                <c:pt idx="0">
                  <c:v>45</c:v>
                </c:pt>
                <c:pt idx="1">
                  <c:v>65</c:v>
                </c:pt>
                <c:pt idx="2">
                  <c:v>88</c:v>
                </c:pt>
                <c:pt idx="3">
                  <c:v>75</c:v>
                </c:pt>
                <c:pt idx="4">
                  <c:v>46</c:v>
                </c:pt>
                <c:pt idx="5">
                  <c:v>78</c:v>
                </c:pt>
                <c:pt idx="6">
                  <c:v>88</c:v>
                </c:pt>
              </c:numCache>
            </c:numRef>
          </c:val>
        </c:ser>
        <c:ser>
          <c:idx val="2"/>
          <c:order val="2"/>
          <c:tx>
            <c:strRef>
              <c:f>Sheet11!$D$1</c:f>
              <c:strCache>
                <c:ptCount val="1"/>
                <c:pt idx="0">
                  <c:v>Hindi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Sheet11!$D$2:$D$8</c:f>
              <c:numCache>
                <c:formatCode>General</c:formatCode>
                <c:ptCount val="7"/>
                <c:pt idx="0">
                  <c:v>65</c:v>
                </c:pt>
                <c:pt idx="1">
                  <c:v>74</c:v>
                </c:pt>
                <c:pt idx="2">
                  <c:v>76</c:v>
                </c:pt>
                <c:pt idx="3">
                  <c:v>86</c:v>
                </c:pt>
                <c:pt idx="4">
                  <c:v>66</c:v>
                </c:pt>
                <c:pt idx="5">
                  <c:v>48</c:v>
                </c:pt>
                <c:pt idx="6">
                  <c:v>87</c:v>
                </c:pt>
              </c:numCache>
            </c:numRef>
          </c:val>
        </c:ser>
        <c:ser>
          <c:idx val="3"/>
          <c:order val="3"/>
          <c:tx>
            <c:strRef>
              <c:f>Sheet11!$E$1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Sheet11!$E$2:$E$8</c:f>
              <c:numCache>
                <c:formatCode>General</c:formatCode>
                <c:ptCount val="7"/>
                <c:pt idx="0">
                  <c:v>77</c:v>
                </c:pt>
                <c:pt idx="1">
                  <c:v>80</c:v>
                </c:pt>
                <c:pt idx="2">
                  <c:v>79</c:v>
                </c:pt>
                <c:pt idx="3">
                  <c:v>75</c:v>
                </c:pt>
                <c:pt idx="4">
                  <c:v>90</c:v>
                </c:pt>
                <c:pt idx="5">
                  <c:v>95</c:v>
                </c:pt>
                <c:pt idx="6">
                  <c:v>98</c:v>
                </c:pt>
              </c:numCache>
            </c:numRef>
          </c:val>
        </c:ser>
        <c:ser>
          <c:idx val="4"/>
          <c:order val="4"/>
          <c:tx>
            <c:strRef>
              <c:f>Sheet11!$F$1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Sheet11!$F$2:$F$8</c:f>
              <c:numCache>
                <c:formatCode>General</c:formatCode>
                <c:ptCount val="7"/>
                <c:pt idx="0">
                  <c:v>95</c:v>
                </c:pt>
                <c:pt idx="1">
                  <c:v>85</c:v>
                </c:pt>
                <c:pt idx="2">
                  <c:v>99</c:v>
                </c:pt>
                <c:pt idx="3">
                  <c:v>90</c:v>
                </c:pt>
                <c:pt idx="4">
                  <c:v>77</c:v>
                </c:pt>
                <c:pt idx="5">
                  <c:v>89</c:v>
                </c:pt>
                <c:pt idx="6">
                  <c:v>56</c:v>
                </c:pt>
              </c:numCache>
            </c:numRef>
          </c:val>
        </c:ser>
        <c:ser>
          <c:idx val="5"/>
          <c:order val="5"/>
          <c:tx>
            <c:strRef>
              <c:f>Sheet11!$G$1</c:f>
              <c:strCache>
                <c:ptCount val="1"/>
                <c:pt idx="0">
                  <c:v>Gujarati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Sheet11!$A$2:$A$8</c:f>
              <c:strCache>
                <c:ptCount val="7"/>
                <c:pt idx="0">
                  <c:v>Ramesh</c:v>
                </c:pt>
                <c:pt idx="1">
                  <c:v>Manish</c:v>
                </c:pt>
                <c:pt idx="2">
                  <c:v>Pratik</c:v>
                </c:pt>
                <c:pt idx="3">
                  <c:v>Chetan</c:v>
                </c:pt>
                <c:pt idx="4">
                  <c:v>Ketan</c:v>
                </c:pt>
                <c:pt idx="5">
                  <c:v>Shiva</c:v>
                </c:pt>
                <c:pt idx="6">
                  <c:v>Jaydev</c:v>
                </c:pt>
              </c:strCache>
            </c:strRef>
          </c:cat>
          <c:val>
            <c:numRef>
              <c:f>Sheet11!$G$2:$G$8</c:f>
              <c:numCache>
                <c:formatCode>General</c:formatCode>
                <c:ptCount val="7"/>
                <c:pt idx="0">
                  <c:v>77</c:v>
                </c:pt>
                <c:pt idx="1">
                  <c:v>79</c:v>
                </c:pt>
                <c:pt idx="2">
                  <c:v>89</c:v>
                </c:pt>
                <c:pt idx="3">
                  <c:v>85</c:v>
                </c:pt>
                <c:pt idx="4">
                  <c:v>69</c:v>
                </c:pt>
                <c:pt idx="5">
                  <c:v>88</c:v>
                </c:pt>
                <c:pt idx="6">
                  <c:v>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447624"/>
        <c:axId val="231772679"/>
      </c:barChart>
      <c:catAx>
        <c:axId val="158244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1772679"/>
        <c:crosses val="autoZero"/>
        <c:auto val="1"/>
        <c:lblAlgn val="ctr"/>
        <c:lblOffset val="100"/>
        <c:noMultiLvlLbl val="0"/>
      </c:catAx>
      <c:valAx>
        <c:axId val="231772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244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bc3359-adb4-467d-be5c-b1c8a7cbce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428625</xdr:colOff>
      <xdr:row>0</xdr:row>
      <xdr:rowOff>76200</xdr:rowOff>
    </xdr:from>
    <xdr:to>
      <xdr:col>13</xdr:col>
      <xdr:colOff>428625</xdr:colOff>
      <xdr:row>11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ller's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ler's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2460" y="76200"/>
              <a:ext cx="1851660" cy="1992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476250</xdr:colOff>
      <xdr:row>0</xdr:row>
      <xdr:rowOff>76200</xdr:rowOff>
    </xdr:from>
    <xdr:to>
      <xdr:col>16</xdr:col>
      <xdr:colOff>476250</xdr:colOff>
      <xdr:row>11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81745" y="76200"/>
              <a:ext cx="1851660" cy="2011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314325</xdr:colOff>
      <xdr:row>9</xdr:row>
      <xdr:rowOff>9525</xdr:rowOff>
    </xdr:from>
    <xdr:to>
      <xdr:col>5</xdr:col>
      <xdr:colOff>485775</xdr:colOff>
      <xdr:row>23</xdr:row>
      <xdr:rowOff>85725</xdr:rowOff>
    </xdr:to>
    <xdr:graphicFrame>
      <xdr:nvGraphicFramePr>
        <xdr:cNvPr id="4" name="Chart 3"/>
        <xdr:cNvGraphicFramePr/>
      </xdr:nvGraphicFramePr>
      <xdr:xfrm>
        <a:off x="931545" y="1655445"/>
        <a:ext cx="264033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0</xdr:row>
      <xdr:rowOff>0</xdr:rowOff>
    </xdr:from>
    <xdr:to>
      <xdr:col>15</xdr:col>
      <xdr:colOff>152400</xdr:colOff>
      <xdr:row>14</xdr:row>
      <xdr:rowOff>76200</xdr:rowOff>
    </xdr:to>
    <xdr:graphicFrame>
      <xdr:nvGraphicFramePr>
        <xdr:cNvPr id="5" name="Chart 4"/>
        <xdr:cNvGraphicFramePr/>
      </xdr:nvGraphicFramePr>
      <xdr:xfrm>
        <a:off x="4777740" y="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05.1407099537" refreshedBy="Excel Services" recordCount="29">
  <cacheSource type="worksheet">
    <worksheetSource ref="A1:D30" sheet="SellersNew"/>
  </cacheSource>
  <cacheFields count="4">
    <cacheField name="Seller's Name" numFmtId="0">
      <sharedItems count="7">
        <s v="Home Depo"/>
        <s v="Costco"/>
        <s v="BestBuy"/>
        <s v="Walmart"/>
        <s v="Staples"/>
        <s v="Amazon"/>
        <s v="FlipCart"/>
      </sharedItems>
    </cacheField>
    <cacheField name="Region" numFmtId="0">
      <sharedItems count="4">
        <s v="Central"/>
        <s v="East"/>
        <s v="South"/>
        <s v="West"/>
      </sharedItems>
    </cacheField>
    <cacheField name="Product" numFmtId="0">
      <sharedItems count="7">
        <s v="Pencil"/>
        <s v="Eraser"/>
        <s v="Notebook"/>
        <s v="Book"/>
        <s v="Shopner"/>
        <s v="Bag"/>
        <s v="Pen"/>
      </sharedItems>
    </cacheField>
    <cacheField name="Sales" numFmtId="3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n v="3330"/>
  </r>
  <r>
    <x v="1"/>
    <x v="0"/>
    <x v="1"/>
    <n v="6688"/>
  </r>
  <r>
    <x v="2"/>
    <x v="0"/>
    <x v="2"/>
    <n v="6450"/>
  </r>
  <r>
    <x v="3"/>
    <x v="1"/>
    <x v="3"/>
    <n v="3036"/>
  </r>
  <r>
    <x v="4"/>
    <x v="2"/>
    <x v="4"/>
    <n v="3744"/>
  </r>
  <r>
    <x v="5"/>
    <x v="2"/>
    <x v="5"/>
    <n v="7656"/>
  </r>
  <r>
    <x v="6"/>
    <x v="2"/>
    <x v="6"/>
    <n v="2925"/>
  </r>
  <r>
    <x v="0"/>
    <x v="2"/>
    <x v="0"/>
    <n v="4810"/>
  </r>
  <r>
    <x v="1"/>
    <x v="2"/>
    <x v="6"/>
    <n v="6688"/>
  </r>
  <r>
    <x v="0"/>
    <x v="2"/>
    <x v="0"/>
    <n v="3870"/>
  </r>
  <r>
    <x v="1"/>
    <x v="3"/>
    <x v="1"/>
    <n v="4290"/>
  </r>
  <r>
    <x v="2"/>
    <x v="2"/>
    <x v="2"/>
    <n v="4224"/>
  </r>
  <r>
    <x v="3"/>
    <x v="2"/>
    <x v="3"/>
    <n v="6525"/>
  </r>
  <r>
    <x v="4"/>
    <x v="0"/>
    <x v="6"/>
    <n v="2990"/>
  </r>
  <r>
    <x v="5"/>
    <x v="0"/>
    <x v="0"/>
    <n v="3330"/>
  </r>
  <r>
    <x v="6"/>
    <x v="0"/>
    <x v="1"/>
    <n v="4940"/>
  </r>
  <r>
    <x v="0"/>
    <x v="0"/>
    <x v="2"/>
    <n v="7568"/>
  </r>
  <r>
    <x v="1"/>
    <x v="2"/>
    <x v="3"/>
    <n v="4950"/>
  </r>
  <r>
    <x v="0"/>
    <x v="2"/>
    <x v="4"/>
    <n v="2208"/>
  </r>
  <r>
    <x v="1"/>
    <x v="1"/>
    <x v="5"/>
    <n v="6786"/>
  </r>
  <r>
    <x v="2"/>
    <x v="3"/>
    <x v="6"/>
    <n v="5720"/>
  </r>
  <r>
    <x v="3"/>
    <x v="2"/>
    <x v="0"/>
    <n v="3330"/>
  </r>
  <r>
    <x v="4"/>
    <x v="3"/>
    <x v="6"/>
    <n v="4940"/>
  </r>
  <r>
    <x v="5"/>
    <x v="1"/>
    <x v="0"/>
    <n v="7568"/>
  </r>
  <r>
    <x v="6"/>
    <x v="2"/>
    <x v="1"/>
    <n v="2970"/>
  </r>
  <r>
    <x v="0"/>
    <x v="2"/>
    <x v="2"/>
    <n v="3120"/>
  </r>
  <r>
    <x v="1"/>
    <x v="2"/>
    <x v="3"/>
    <n v="7656"/>
  </r>
  <r>
    <x v="0"/>
    <x v="1"/>
    <x v="6"/>
    <n v="4875"/>
  </r>
  <r>
    <x v="1"/>
    <x v="2"/>
    <x v="0"/>
    <n v="34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:B8" firstHeaderRow="1" firstDataRow="1" firstDataCol="1"/>
  <pivotFields count="4">
    <pivotField compact="0" outline="0" showAll="0">
      <items count="8">
        <item x="5"/>
        <item x="2"/>
        <item x="1"/>
        <item x="6"/>
        <item x="0"/>
        <item x="4"/>
        <item x="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8">
        <item x="5"/>
        <item x="3"/>
        <item x="1"/>
        <item x="2"/>
        <item x="6"/>
        <item x="0"/>
        <item x="4"/>
        <item t="default"/>
      </items>
    </pivotField>
    <pivotField dataField="1" compact="0" outline="0"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howDataAs="percentOfCol" baseField="0" baseItem="0" numFmtId="1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ller_s_Name" sourceName="Seller's Name">
  <pivotTables>
    <pivotTable tabId="22" name="PivotTable3"/>
  </pivotTables>
  <data>
    <tabular pivotCacheId="1">
      <items count="7">
        <i x="5" s="1"/>
        <i x="2" s="1"/>
        <i x="1" s="1"/>
        <i x="6" s="1"/>
        <i x="0" s="1"/>
        <i x="4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22" name="PivotTable3"/>
  </pivotTables>
  <data>
    <tabular pivotCacheId="1">
      <items count="7">
        <i x="5" s="1"/>
        <i x="3" s="1"/>
        <i x="1" s="1"/>
        <i x="2" s="1"/>
        <i x="6" s="1"/>
        <i x="0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ller's Name" cache="Slicer_Seller_s_Name" caption="Seller's Name" rowHeight="228600"/>
  <slicer name="Product" cache="Slicer_Product" caption="Product" rowHeight="228600"/>
</slicers>
</file>

<file path=xl/tables/table1.xml><?xml version="1.0" encoding="utf-8"?>
<table xmlns="http://schemas.openxmlformats.org/spreadsheetml/2006/main" id="1" name="Table1" displayName="Table1" ref="A1:G97" totalsRowShown="0">
  <autoFilter xmlns:etc="http://www.wps.cn/officeDocument/2017/etCustomData" ref="A1:G97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Order Date" dataDxfId="0"/>
    <tableColumn id="2" name="Seller's Name" dataDxfId="1"/>
    <tableColumn id="3" name="Region" dataDxfId="2"/>
    <tableColumn id="4" name="Product" dataDxfId="3"/>
    <tableColumn id="5" name="Quantity" dataDxfId="4"/>
    <tableColumn id="6" name="Price" dataDxfId="5"/>
    <tableColumn id="7" name="Amount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38" totalsRowShown="0">
  <autoFilter xmlns:etc="http://www.wps.cn/officeDocument/2017/etCustomData" ref="A1:C38" etc:filterBottomFollowUsedRange="0"/>
  <tableColumns count="3">
    <tableColumn id="1" name="Factory" dataDxfId="7"/>
    <tableColumn id="2" name="Job Role" dataDxfId="8"/>
    <tableColumn id="3" name="Equality Score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3:D12" totalsRowShown="0">
  <autoFilter xmlns:etc="http://www.wps.cn/officeDocument/2017/etCustomData" ref="B3:D12" etc:filterBottomFollowUsedRange="0"/>
  <tableColumns count="3">
    <tableColumn id="1" name="Student Name" dataDxfId="10"/>
    <tableColumn id="2" name="Subject" dataDxfId="11"/>
    <tableColumn id="3" name="Marks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L21" sqref="L21"/>
    </sheetView>
  </sheetViews>
  <sheetFormatPr defaultColWidth="9" defaultRowHeight="14.4" outlineLevelCol="3"/>
  <cols>
    <col min="1" max="1" width="18.8518518518519" customWidth="1"/>
    <col min="2" max="2" width="10.287037037037" customWidth="1"/>
    <col min="3" max="4" width="11.4259259259259" customWidth="1"/>
  </cols>
  <sheetData>
    <row r="1" ht="17.4" spans="1:4">
      <c r="A1" s="69" t="s">
        <v>0</v>
      </c>
      <c r="B1" s="68" t="s">
        <v>1</v>
      </c>
      <c r="C1" s="68" t="s">
        <v>2</v>
      </c>
      <c r="D1" s="68" t="s">
        <v>3</v>
      </c>
    </row>
    <row r="2" spans="1:4">
      <c r="A2" s="71" t="s">
        <v>4</v>
      </c>
      <c r="B2" s="72" t="s">
        <v>5</v>
      </c>
      <c r="C2" s="73" t="s">
        <v>6</v>
      </c>
      <c r="D2" s="74">
        <v>3330</v>
      </c>
    </row>
    <row r="3" spans="1:4">
      <c r="A3" s="71" t="s">
        <v>7</v>
      </c>
      <c r="B3" s="72" t="s">
        <v>5</v>
      </c>
      <c r="C3" s="73" t="s">
        <v>8</v>
      </c>
      <c r="D3" s="74">
        <v>6688</v>
      </c>
    </row>
    <row r="4" spans="1:4">
      <c r="A4" s="71" t="s">
        <v>9</v>
      </c>
      <c r="B4" s="72" t="s">
        <v>5</v>
      </c>
      <c r="C4" s="73" t="s">
        <v>10</v>
      </c>
      <c r="D4" s="74">
        <v>6450</v>
      </c>
    </row>
    <row r="5" spans="1:4">
      <c r="A5" s="71" t="s">
        <v>11</v>
      </c>
      <c r="B5" s="72" t="s">
        <v>12</v>
      </c>
      <c r="C5" s="73" t="s">
        <v>13</v>
      </c>
      <c r="D5" s="74">
        <v>3036</v>
      </c>
    </row>
    <row r="6" spans="1:4">
      <c r="A6" s="71" t="s">
        <v>14</v>
      </c>
      <c r="B6" s="72" t="s">
        <v>15</v>
      </c>
      <c r="C6" s="73" t="s">
        <v>16</v>
      </c>
      <c r="D6" s="74">
        <v>3744</v>
      </c>
    </row>
    <row r="7" spans="1:4">
      <c r="A7" s="71" t="s">
        <v>17</v>
      </c>
      <c r="B7" s="72" t="s">
        <v>15</v>
      </c>
      <c r="C7" s="73" t="s">
        <v>18</v>
      </c>
      <c r="D7" s="74">
        <v>7656</v>
      </c>
    </row>
    <row r="8" spans="1:4">
      <c r="A8" s="71" t="s">
        <v>19</v>
      </c>
      <c r="B8" s="72" t="s">
        <v>15</v>
      </c>
      <c r="C8" s="73" t="s">
        <v>20</v>
      </c>
      <c r="D8" s="74">
        <v>2925</v>
      </c>
    </row>
    <row r="9" spans="1:4">
      <c r="A9" s="71" t="s">
        <v>4</v>
      </c>
      <c r="B9" s="72" t="s">
        <v>15</v>
      </c>
      <c r="C9" s="73" t="s">
        <v>6</v>
      </c>
      <c r="D9" s="74">
        <v>4810</v>
      </c>
    </row>
    <row r="10" spans="1:4">
      <c r="A10" s="71" t="s">
        <v>7</v>
      </c>
      <c r="B10" s="72" t="s">
        <v>15</v>
      </c>
      <c r="C10" s="73" t="s">
        <v>20</v>
      </c>
      <c r="D10" s="74">
        <v>6688</v>
      </c>
    </row>
    <row r="11" spans="1:4">
      <c r="A11" s="71" t="s">
        <v>4</v>
      </c>
      <c r="B11" s="72" t="s">
        <v>15</v>
      </c>
      <c r="C11" s="73" t="s">
        <v>6</v>
      </c>
      <c r="D11" s="74">
        <v>3870</v>
      </c>
    </row>
    <row r="12" spans="1:4">
      <c r="A12" s="71" t="s">
        <v>7</v>
      </c>
      <c r="B12" s="72" t="s">
        <v>21</v>
      </c>
      <c r="C12" s="73" t="s">
        <v>8</v>
      </c>
      <c r="D12" s="74">
        <v>4290</v>
      </c>
    </row>
    <row r="13" spans="1:4">
      <c r="A13" s="71" t="s">
        <v>9</v>
      </c>
      <c r="B13" s="72" t="s">
        <v>15</v>
      </c>
      <c r="C13" s="73" t="s">
        <v>10</v>
      </c>
      <c r="D13" s="74">
        <v>4224</v>
      </c>
    </row>
    <row r="14" spans="1:4">
      <c r="A14" s="71" t="s">
        <v>11</v>
      </c>
      <c r="B14" s="72" t="s">
        <v>15</v>
      </c>
      <c r="C14" s="73" t="s">
        <v>13</v>
      </c>
      <c r="D14" s="74">
        <v>6525</v>
      </c>
    </row>
    <row r="15" spans="1:4">
      <c r="A15" s="71" t="s">
        <v>14</v>
      </c>
      <c r="B15" s="72" t="s">
        <v>5</v>
      </c>
      <c r="C15" s="73" t="s">
        <v>20</v>
      </c>
      <c r="D15" s="74">
        <v>2990</v>
      </c>
    </row>
    <row r="16" spans="1:4">
      <c r="A16" s="71" t="s">
        <v>17</v>
      </c>
      <c r="B16" s="72" t="s">
        <v>5</v>
      </c>
      <c r="C16" s="73" t="s">
        <v>6</v>
      </c>
      <c r="D16" s="74">
        <v>3330</v>
      </c>
    </row>
    <row r="17" spans="1:4">
      <c r="A17" s="71" t="s">
        <v>19</v>
      </c>
      <c r="B17" s="72" t="s">
        <v>5</v>
      </c>
      <c r="C17" s="73" t="s">
        <v>8</v>
      </c>
      <c r="D17" s="74">
        <v>4940</v>
      </c>
    </row>
    <row r="18" spans="1:4">
      <c r="A18" s="71" t="s">
        <v>4</v>
      </c>
      <c r="B18" s="72" t="s">
        <v>5</v>
      </c>
      <c r="C18" s="73" t="s">
        <v>10</v>
      </c>
      <c r="D18" s="74">
        <v>7568</v>
      </c>
    </row>
    <row r="19" spans="1:4">
      <c r="A19" s="71" t="s">
        <v>7</v>
      </c>
      <c r="B19" s="72" t="s">
        <v>15</v>
      </c>
      <c r="C19" s="73" t="s">
        <v>13</v>
      </c>
      <c r="D19" s="74">
        <v>4950</v>
      </c>
    </row>
    <row r="20" spans="1:4">
      <c r="A20" s="71" t="s">
        <v>4</v>
      </c>
      <c r="B20" s="72" t="s">
        <v>15</v>
      </c>
      <c r="C20" s="73" t="s">
        <v>16</v>
      </c>
      <c r="D20" s="74">
        <v>2208</v>
      </c>
    </row>
    <row r="21" spans="1:4">
      <c r="A21" s="71" t="s">
        <v>7</v>
      </c>
      <c r="B21" s="72" t="s">
        <v>12</v>
      </c>
      <c r="C21" s="73" t="s">
        <v>18</v>
      </c>
      <c r="D21" s="74">
        <v>6786</v>
      </c>
    </row>
    <row r="22" spans="1:4">
      <c r="A22" s="71" t="s">
        <v>9</v>
      </c>
      <c r="B22" s="72" t="s">
        <v>21</v>
      </c>
      <c r="C22" s="73" t="s">
        <v>20</v>
      </c>
      <c r="D22" s="74">
        <v>5720</v>
      </c>
    </row>
    <row r="23" spans="1:4">
      <c r="A23" s="71" t="s">
        <v>11</v>
      </c>
      <c r="B23" s="72" t="s">
        <v>15</v>
      </c>
      <c r="C23" s="73" t="s">
        <v>6</v>
      </c>
      <c r="D23" s="74">
        <v>3330</v>
      </c>
    </row>
    <row r="24" spans="1:4">
      <c r="A24" s="71" t="s">
        <v>14</v>
      </c>
      <c r="B24" s="72" t="s">
        <v>21</v>
      </c>
      <c r="C24" s="73" t="s">
        <v>20</v>
      </c>
      <c r="D24" s="74">
        <v>4940</v>
      </c>
    </row>
    <row r="25" spans="1:4">
      <c r="A25" s="71" t="s">
        <v>17</v>
      </c>
      <c r="B25" s="72" t="s">
        <v>12</v>
      </c>
      <c r="C25" s="73" t="s">
        <v>6</v>
      </c>
      <c r="D25" s="74">
        <v>7568</v>
      </c>
    </row>
    <row r="26" spans="1:4">
      <c r="A26" s="71" t="s">
        <v>19</v>
      </c>
      <c r="B26" s="72" t="s">
        <v>15</v>
      </c>
      <c r="C26" s="73" t="s">
        <v>8</v>
      </c>
      <c r="D26" s="74">
        <v>2970</v>
      </c>
    </row>
    <row r="27" spans="1:4">
      <c r="A27" s="71" t="s">
        <v>4</v>
      </c>
      <c r="B27" s="72" t="s">
        <v>15</v>
      </c>
      <c r="C27" s="73" t="s">
        <v>10</v>
      </c>
      <c r="D27" s="74">
        <v>3120</v>
      </c>
    </row>
    <row r="28" spans="1:4">
      <c r="A28" s="71" t="s">
        <v>7</v>
      </c>
      <c r="B28" s="72" t="s">
        <v>15</v>
      </c>
      <c r="C28" s="73" t="s">
        <v>13</v>
      </c>
      <c r="D28" s="74">
        <v>7656</v>
      </c>
    </row>
    <row r="29" spans="1:4">
      <c r="A29" s="71" t="s">
        <v>4</v>
      </c>
      <c r="B29" s="72" t="s">
        <v>12</v>
      </c>
      <c r="C29" s="73" t="s">
        <v>20</v>
      </c>
      <c r="D29" s="74">
        <v>4875</v>
      </c>
    </row>
    <row r="30" spans="1:4">
      <c r="A30" s="71" t="s">
        <v>7</v>
      </c>
      <c r="B30" s="72" t="s">
        <v>15</v>
      </c>
      <c r="C30" s="73" t="s">
        <v>6</v>
      </c>
      <c r="D30" s="74">
        <v>3404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workbookViewId="0">
      <selection activeCell="J9" sqref="J9"/>
    </sheetView>
  </sheetViews>
  <sheetFormatPr defaultColWidth="9" defaultRowHeight="14.4" outlineLevelRow="7" outlineLevelCol="4"/>
  <cols>
    <col min="1" max="1" width="11.4259259259259" customWidth="1"/>
    <col min="2" max="2" width="12.1388888888889" customWidth="1"/>
  </cols>
  <sheetData>
    <row r="3" spans="1:5">
      <c r="A3" t="s">
        <v>1</v>
      </c>
      <c r="B3" t="s">
        <v>22</v>
      </c>
    </row>
    <row r="4" spans="1:5">
      <c r="A4" t="s">
        <v>5</v>
      </c>
      <c r="B4" s="91">
        <v>0.251054477171369</v>
      </c>
      <c r="C4" s="91">
        <f>B4</f>
        <v>0.251054477171369</v>
      </c>
      <c r="D4" s="91">
        <f>1-C4</f>
        <v>0.748945522828631</v>
      </c>
      <c r="E4" s="92">
        <v>1</v>
      </c>
    </row>
    <row r="5" spans="1:5">
      <c r="A5" t="s">
        <v>12</v>
      </c>
      <c r="B5" s="91">
        <v>0.158367178553392</v>
      </c>
      <c r="C5" s="91">
        <f t="shared" ref="C5:C7" si="0">B5</f>
        <v>0.158367178553392</v>
      </c>
      <c r="D5" s="91">
        <f t="shared" ref="D5:D7" si="1">1-C5</f>
        <v>0.841632821446608</v>
      </c>
      <c r="E5" s="92">
        <v>1</v>
      </c>
    </row>
    <row r="6" spans="1:5">
      <c r="A6" t="s">
        <v>15</v>
      </c>
      <c r="B6" s="91">
        <v>0.484241523283852</v>
      </c>
      <c r="C6" s="91">
        <f t="shared" si="0"/>
        <v>0.484241523283852</v>
      </c>
      <c r="D6" s="91">
        <f t="shared" si="1"/>
        <v>0.515758476716148</v>
      </c>
      <c r="E6" s="92">
        <v>1</v>
      </c>
    </row>
    <row r="7" spans="1:5">
      <c r="A7" t="s">
        <v>21</v>
      </c>
      <c r="B7" s="91">
        <v>0.106336820991386</v>
      </c>
      <c r="C7" s="91">
        <f t="shared" si="0"/>
        <v>0.106336820991386</v>
      </c>
      <c r="D7" s="91">
        <f t="shared" si="1"/>
        <v>0.893663179008614</v>
      </c>
      <c r="E7" s="92">
        <v>1</v>
      </c>
    </row>
    <row r="8" spans="1:5">
      <c r="A8" t="s">
        <v>23</v>
      </c>
      <c r="B8" s="91">
        <v>1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selection activeCell="B1" sqref="B1"/>
    </sheetView>
  </sheetViews>
  <sheetFormatPr defaultColWidth="9" defaultRowHeight="14.4" outlineLevelCol="6"/>
  <cols>
    <col min="1" max="1" width="15.1388888888889" customWidth="1"/>
    <col min="2" max="2" width="17.1388888888889" customWidth="1"/>
    <col min="3" max="3" width="10.287037037037" customWidth="1"/>
    <col min="4" max="4" width="11.4259259259259" customWidth="1"/>
    <col min="5" max="5" width="12.1388888888889" customWidth="1"/>
    <col min="7" max="7" width="11.4259259259259" customWidth="1"/>
  </cols>
  <sheetData>
    <row r="1" ht="17.4" spans="1:7">
      <c r="A1" s="68" t="s">
        <v>24</v>
      </c>
      <c r="B1" s="83" t="s">
        <v>25</v>
      </c>
      <c r="C1" s="68" t="s">
        <v>1</v>
      </c>
      <c r="D1" s="68" t="s">
        <v>2</v>
      </c>
      <c r="E1" s="68" t="s">
        <v>26</v>
      </c>
      <c r="F1" s="68" t="s">
        <v>27</v>
      </c>
      <c r="G1" s="68" t="s">
        <v>28</v>
      </c>
    </row>
    <row r="2" spans="1:7">
      <c r="A2" s="70" t="s">
        <v>29</v>
      </c>
      <c r="B2" s="84" t="s">
        <v>30</v>
      </c>
      <c r="C2" s="85" t="s">
        <v>5</v>
      </c>
      <c r="D2" s="86" t="s">
        <v>6</v>
      </c>
      <c r="E2" s="86">
        <v>74</v>
      </c>
      <c r="F2" s="86">
        <v>45</v>
      </c>
      <c r="G2" s="87">
        <v>3330</v>
      </c>
    </row>
    <row r="3" spans="1:7">
      <c r="A3" s="70" t="s">
        <v>31</v>
      </c>
      <c r="B3" s="88" t="s">
        <v>32</v>
      </c>
      <c r="C3" s="72" t="s">
        <v>5</v>
      </c>
      <c r="D3" s="73" t="s">
        <v>8</v>
      </c>
      <c r="E3" s="73">
        <v>76</v>
      </c>
      <c r="F3" s="73">
        <v>88</v>
      </c>
      <c r="G3" s="74">
        <v>6688</v>
      </c>
    </row>
    <row r="4" spans="1:7">
      <c r="A4" s="70" t="s">
        <v>33</v>
      </c>
      <c r="B4" s="88" t="s">
        <v>34</v>
      </c>
      <c r="C4" s="72" t="s">
        <v>5</v>
      </c>
      <c r="D4" s="73" t="s">
        <v>10</v>
      </c>
      <c r="E4" s="73">
        <v>86</v>
      </c>
      <c r="F4" s="73">
        <v>75</v>
      </c>
      <c r="G4" s="74">
        <v>6450</v>
      </c>
    </row>
    <row r="5" spans="1:7">
      <c r="A5" s="70" t="s">
        <v>35</v>
      </c>
      <c r="B5" s="88" t="s">
        <v>36</v>
      </c>
      <c r="C5" s="72" t="s">
        <v>12</v>
      </c>
      <c r="D5" s="73" t="s">
        <v>13</v>
      </c>
      <c r="E5" s="73">
        <v>66</v>
      </c>
      <c r="F5" s="73">
        <v>46</v>
      </c>
      <c r="G5" s="74">
        <v>3036</v>
      </c>
    </row>
    <row r="6" spans="1:7">
      <c r="A6" s="70" t="s">
        <v>37</v>
      </c>
      <c r="B6" s="88" t="s">
        <v>38</v>
      </c>
      <c r="C6" s="72" t="s">
        <v>15</v>
      </c>
      <c r="D6" s="73" t="s">
        <v>16</v>
      </c>
      <c r="E6" s="73">
        <v>48</v>
      </c>
      <c r="F6" s="73">
        <v>78</v>
      </c>
      <c r="G6" s="74">
        <v>3744</v>
      </c>
    </row>
    <row r="7" spans="1:7">
      <c r="A7" s="70" t="s">
        <v>39</v>
      </c>
      <c r="B7" s="88" t="s">
        <v>40</v>
      </c>
      <c r="C7" s="72" t="s">
        <v>15</v>
      </c>
      <c r="D7" s="73" t="s">
        <v>18</v>
      </c>
      <c r="E7" s="73">
        <v>87</v>
      </c>
      <c r="F7" s="73">
        <v>88</v>
      </c>
      <c r="G7" s="74">
        <v>7656</v>
      </c>
    </row>
    <row r="8" spans="1:7">
      <c r="A8" s="70" t="s">
        <v>41</v>
      </c>
      <c r="B8" s="88" t="s">
        <v>42</v>
      </c>
      <c r="C8" s="72" t="s">
        <v>15</v>
      </c>
      <c r="D8" s="73" t="s">
        <v>20</v>
      </c>
      <c r="E8" s="73">
        <v>65</v>
      </c>
      <c r="F8" s="73">
        <v>45</v>
      </c>
      <c r="G8" s="74">
        <v>2925</v>
      </c>
    </row>
    <row r="9" spans="1:7">
      <c r="A9" s="70" t="s">
        <v>43</v>
      </c>
      <c r="B9" s="88" t="s">
        <v>44</v>
      </c>
      <c r="C9" s="72" t="s">
        <v>15</v>
      </c>
      <c r="D9" s="73" t="s">
        <v>6</v>
      </c>
      <c r="E9" s="73">
        <v>74</v>
      </c>
      <c r="F9" s="73">
        <v>65</v>
      </c>
      <c r="G9" s="74">
        <v>4810</v>
      </c>
    </row>
    <row r="10" spans="1:7">
      <c r="A10" s="70" t="s">
        <v>45</v>
      </c>
      <c r="B10" s="88" t="s">
        <v>46</v>
      </c>
      <c r="C10" s="72" t="s">
        <v>15</v>
      </c>
      <c r="D10" s="73" t="s">
        <v>20</v>
      </c>
      <c r="E10" s="73">
        <v>76</v>
      </c>
      <c r="F10" s="73">
        <v>88</v>
      </c>
      <c r="G10" s="74">
        <v>6688</v>
      </c>
    </row>
    <row r="11" spans="1:7">
      <c r="A11" s="70" t="s">
        <v>47</v>
      </c>
      <c r="B11" s="88" t="s">
        <v>48</v>
      </c>
      <c r="C11" s="72" t="s">
        <v>15</v>
      </c>
      <c r="D11" s="73" t="s">
        <v>6</v>
      </c>
      <c r="E11" s="73">
        <v>86</v>
      </c>
      <c r="F11" s="73">
        <v>45</v>
      </c>
      <c r="G11" s="74">
        <v>3870</v>
      </c>
    </row>
    <row r="12" spans="1:7">
      <c r="A12" s="70" t="s">
        <v>49</v>
      </c>
      <c r="B12" s="88" t="s">
        <v>50</v>
      </c>
      <c r="C12" s="72" t="s">
        <v>21</v>
      </c>
      <c r="D12" s="73" t="s">
        <v>8</v>
      </c>
      <c r="E12" s="73">
        <v>66</v>
      </c>
      <c r="F12" s="73">
        <v>65</v>
      </c>
      <c r="G12" s="74">
        <v>4290</v>
      </c>
    </row>
    <row r="13" spans="1:7">
      <c r="A13" s="70" t="s">
        <v>51</v>
      </c>
      <c r="B13" s="88" t="s">
        <v>52</v>
      </c>
      <c r="C13" s="72" t="s">
        <v>15</v>
      </c>
      <c r="D13" s="73" t="s">
        <v>10</v>
      </c>
      <c r="E13" s="73">
        <v>48</v>
      </c>
      <c r="F13" s="73">
        <v>88</v>
      </c>
      <c r="G13" s="74">
        <v>4224</v>
      </c>
    </row>
    <row r="14" spans="1:7">
      <c r="A14" s="70" t="s">
        <v>53</v>
      </c>
      <c r="B14" s="88" t="s">
        <v>54</v>
      </c>
      <c r="C14" s="72" t="s">
        <v>15</v>
      </c>
      <c r="D14" s="73" t="s">
        <v>13</v>
      </c>
      <c r="E14" s="73">
        <v>87</v>
      </c>
      <c r="F14" s="73">
        <v>75</v>
      </c>
      <c r="G14" s="74">
        <v>6525</v>
      </c>
    </row>
    <row r="15" spans="1:7">
      <c r="A15" s="70" t="s">
        <v>55</v>
      </c>
      <c r="B15" s="88" t="s">
        <v>56</v>
      </c>
      <c r="C15" s="72" t="s">
        <v>5</v>
      </c>
      <c r="D15" s="73" t="s">
        <v>20</v>
      </c>
      <c r="E15" s="73">
        <v>65</v>
      </c>
      <c r="F15" s="73">
        <v>46</v>
      </c>
      <c r="G15" s="74">
        <v>2990</v>
      </c>
    </row>
    <row r="16" spans="1:7">
      <c r="A16" s="70" t="s">
        <v>57</v>
      </c>
      <c r="B16" s="88" t="s">
        <v>58</v>
      </c>
      <c r="C16" s="72" t="s">
        <v>5</v>
      </c>
      <c r="D16" s="73" t="s">
        <v>6</v>
      </c>
      <c r="E16" s="73">
        <v>74</v>
      </c>
      <c r="F16" s="73">
        <v>45</v>
      </c>
      <c r="G16" s="74">
        <v>3330</v>
      </c>
    </row>
    <row r="17" spans="1:7">
      <c r="A17" s="70" t="s">
        <v>59</v>
      </c>
      <c r="B17" s="88" t="s">
        <v>60</v>
      </c>
      <c r="C17" s="72" t="s">
        <v>5</v>
      </c>
      <c r="D17" s="73" t="s">
        <v>8</v>
      </c>
      <c r="E17" s="73">
        <v>76</v>
      </c>
      <c r="F17" s="73">
        <v>65</v>
      </c>
      <c r="G17" s="74">
        <v>4940</v>
      </c>
    </row>
    <row r="18" spans="1:7">
      <c r="A18" s="70" t="s">
        <v>61</v>
      </c>
      <c r="B18" s="88" t="s">
        <v>62</v>
      </c>
      <c r="C18" s="72" t="s">
        <v>5</v>
      </c>
      <c r="D18" s="73" t="s">
        <v>10</v>
      </c>
      <c r="E18" s="73">
        <v>86</v>
      </c>
      <c r="F18" s="73">
        <v>88</v>
      </c>
      <c r="G18" s="74">
        <v>7568</v>
      </c>
    </row>
    <row r="19" spans="1:7">
      <c r="A19" s="70" t="s">
        <v>63</v>
      </c>
      <c r="B19" s="88" t="s">
        <v>64</v>
      </c>
      <c r="C19" s="72" t="s">
        <v>15</v>
      </c>
      <c r="D19" s="73" t="s">
        <v>13</v>
      </c>
      <c r="E19" s="73">
        <v>66</v>
      </c>
      <c r="F19" s="73">
        <v>75</v>
      </c>
      <c r="G19" s="74">
        <v>4950</v>
      </c>
    </row>
    <row r="20" spans="1:7">
      <c r="A20" s="70" t="s">
        <v>65</v>
      </c>
      <c r="B20" s="88" t="s">
        <v>66</v>
      </c>
      <c r="C20" s="72" t="s">
        <v>15</v>
      </c>
      <c r="D20" s="73" t="s">
        <v>16</v>
      </c>
      <c r="E20" s="73">
        <v>48</v>
      </c>
      <c r="F20" s="73">
        <v>46</v>
      </c>
      <c r="G20" s="74">
        <v>2208</v>
      </c>
    </row>
    <row r="21" spans="1:7">
      <c r="A21" s="70" t="s">
        <v>67</v>
      </c>
      <c r="B21" s="88" t="s">
        <v>68</v>
      </c>
      <c r="C21" s="72" t="s">
        <v>12</v>
      </c>
      <c r="D21" s="73" t="s">
        <v>18</v>
      </c>
      <c r="E21" s="73">
        <v>87</v>
      </c>
      <c r="F21" s="73">
        <v>78</v>
      </c>
      <c r="G21" s="74">
        <v>6786</v>
      </c>
    </row>
    <row r="22" spans="1:7">
      <c r="A22" s="70" t="s">
        <v>69</v>
      </c>
      <c r="B22" s="88" t="s">
        <v>70</v>
      </c>
      <c r="C22" s="72" t="s">
        <v>21</v>
      </c>
      <c r="D22" s="73" t="s">
        <v>20</v>
      </c>
      <c r="E22" s="73">
        <v>65</v>
      </c>
      <c r="F22" s="73">
        <v>88</v>
      </c>
      <c r="G22" s="74">
        <v>5720</v>
      </c>
    </row>
    <row r="23" spans="1:7">
      <c r="A23" s="70" t="s">
        <v>71</v>
      </c>
      <c r="B23" s="88" t="s">
        <v>72</v>
      </c>
      <c r="C23" s="72" t="s">
        <v>15</v>
      </c>
      <c r="D23" s="73" t="s">
        <v>6</v>
      </c>
      <c r="E23" s="73">
        <v>74</v>
      </c>
      <c r="F23" s="73">
        <v>45</v>
      </c>
      <c r="G23" s="74">
        <v>3330</v>
      </c>
    </row>
    <row r="24" spans="1:7">
      <c r="A24" s="70" t="s">
        <v>73</v>
      </c>
      <c r="B24" s="88" t="s">
        <v>74</v>
      </c>
      <c r="C24" s="72" t="s">
        <v>21</v>
      </c>
      <c r="D24" s="73" t="s">
        <v>20</v>
      </c>
      <c r="E24" s="73">
        <v>76</v>
      </c>
      <c r="F24" s="73">
        <v>65</v>
      </c>
      <c r="G24" s="74">
        <v>4940</v>
      </c>
    </row>
    <row r="25" spans="1:7">
      <c r="A25" s="70" t="s">
        <v>75</v>
      </c>
      <c r="B25" s="88" t="s">
        <v>76</v>
      </c>
      <c r="C25" s="72" t="s">
        <v>12</v>
      </c>
      <c r="D25" s="73" t="s">
        <v>6</v>
      </c>
      <c r="E25" s="73">
        <v>86</v>
      </c>
      <c r="F25" s="73">
        <v>88</v>
      </c>
      <c r="G25" s="74">
        <v>7568</v>
      </c>
    </row>
    <row r="26" spans="1:7">
      <c r="A26" s="70" t="s">
        <v>77</v>
      </c>
      <c r="B26" s="88" t="s">
        <v>78</v>
      </c>
      <c r="C26" s="72" t="s">
        <v>15</v>
      </c>
      <c r="D26" s="73" t="s">
        <v>8</v>
      </c>
      <c r="E26" s="73">
        <v>66</v>
      </c>
      <c r="F26" s="73">
        <v>45</v>
      </c>
      <c r="G26" s="74">
        <v>2970</v>
      </c>
    </row>
    <row r="27" spans="1:7">
      <c r="A27" s="70" t="s">
        <v>79</v>
      </c>
      <c r="B27" s="88" t="s">
        <v>80</v>
      </c>
      <c r="C27" s="72" t="s">
        <v>15</v>
      </c>
      <c r="D27" s="73" t="s">
        <v>10</v>
      </c>
      <c r="E27" s="73">
        <v>48</v>
      </c>
      <c r="F27" s="73">
        <v>65</v>
      </c>
      <c r="G27" s="74">
        <v>3120</v>
      </c>
    </row>
    <row r="28" spans="1:7">
      <c r="A28" s="70" t="s">
        <v>81</v>
      </c>
      <c r="B28" s="88" t="s">
        <v>82</v>
      </c>
      <c r="C28" s="72" t="s">
        <v>15</v>
      </c>
      <c r="D28" s="73" t="s">
        <v>13</v>
      </c>
      <c r="E28" s="73">
        <v>87</v>
      </c>
      <c r="F28" s="73">
        <v>88</v>
      </c>
      <c r="G28" s="74">
        <v>7656</v>
      </c>
    </row>
    <row r="29" spans="1:7">
      <c r="A29" s="70" t="s">
        <v>83</v>
      </c>
      <c r="B29" s="88" t="s">
        <v>84</v>
      </c>
      <c r="C29" s="72" t="s">
        <v>12</v>
      </c>
      <c r="D29" s="73" t="s">
        <v>20</v>
      </c>
      <c r="E29" s="73">
        <v>65</v>
      </c>
      <c r="F29" s="73">
        <v>75</v>
      </c>
      <c r="G29" s="74">
        <v>4875</v>
      </c>
    </row>
    <row r="30" spans="1:7">
      <c r="A30" s="70" t="s">
        <v>85</v>
      </c>
      <c r="B30" s="88" t="s">
        <v>86</v>
      </c>
      <c r="C30" s="72" t="s">
        <v>15</v>
      </c>
      <c r="D30" s="73" t="s">
        <v>6</v>
      </c>
      <c r="E30" s="73">
        <v>74</v>
      </c>
      <c r="F30" s="73">
        <v>46</v>
      </c>
      <c r="G30" s="74">
        <v>3404</v>
      </c>
    </row>
    <row r="31" spans="1:7">
      <c r="A31" s="70" t="s">
        <v>87</v>
      </c>
      <c r="B31" s="88" t="s">
        <v>88</v>
      </c>
      <c r="C31" s="72" t="s">
        <v>21</v>
      </c>
      <c r="D31" s="73" t="s">
        <v>8</v>
      </c>
      <c r="E31" s="73">
        <v>76</v>
      </c>
      <c r="F31" s="73">
        <v>45</v>
      </c>
      <c r="G31" s="74">
        <v>3420</v>
      </c>
    </row>
    <row r="32" spans="1:7">
      <c r="A32" s="70" t="s">
        <v>89</v>
      </c>
      <c r="B32" s="88" t="s">
        <v>90</v>
      </c>
      <c r="C32" s="72" t="s">
        <v>15</v>
      </c>
      <c r="D32" s="73" t="s">
        <v>10</v>
      </c>
      <c r="E32" s="73">
        <v>86</v>
      </c>
      <c r="F32" s="73">
        <v>65</v>
      </c>
      <c r="G32" s="74">
        <v>5590</v>
      </c>
    </row>
    <row r="33" spans="1:7">
      <c r="A33" s="70" t="s">
        <v>91</v>
      </c>
      <c r="B33" s="88" t="s">
        <v>92</v>
      </c>
      <c r="C33" s="72" t="s">
        <v>12</v>
      </c>
      <c r="D33" s="73" t="s">
        <v>13</v>
      </c>
      <c r="E33" s="73">
        <v>66</v>
      </c>
      <c r="F33" s="73">
        <v>88</v>
      </c>
      <c r="G33" s="74">
        <v>5808</v>
      </c>
    </row>
    <row r="34" spans="1:7">
      <c r="A34" s="70" t="s">
        <v>93</v>
      </c>
      <c r="B34" s="88" t="s">
        <v>94</v>
      </c>
      <c r="C34" s="72" t="s">
        <v>15</v>
      </c>
      <c r="D34" s="73" t="s">
        <v>16</v>
      </c>
      <c r="E34" s="73">
        <v>48</v>
      </c>
      <c r="F34" s="73">
        <v>75</v>
      </c>
      <c r="G34" s="74">
        <v>3600</v>
      </c>
    </row>
    <row r="35" spans="1:7">
      <c r="A35" s="70" t="s">
        <v>95</v>
      </c>
      <c r="B35" s="88" t="s">
        <v>96</v>
      </c>
      <c r="C35" s="72" t="s">
        <v>12</v>
      </c>
      <c r="D35" s="73" t="s">
        <v>18</v>
      </c>
      <c r="E35" s="73">
        <v>87</v>
      </c>
      <c r="F35" s="73">
        <v>46</v>
      </c>
      <c r="G35" s="74">
        <v>4002</v>
      </c>
    </row>
    <row r="36" spans="1:7">
      <c r="A36" s="70" t="s">
        <v>97</v>
      </c>
      <c r="B36" s="88" t="s">
        <v>98</v>
      </c>
      <c r="C36" s="72" t="s">
        <v>12</v>
      </c>
      <c r="D36" s="73" t="s">
        <v>20</v>
      </c>
      <c r="E36" s="73">
        <v>65</v>
      </c>
      <c r="F36" s="73">
        <v>78</v>
      </c>
      <c r="G36" s="74">
        <v>5070</v>
      </c>
    </row>
    <row r="37" spans="1:7">
      <c r="A37" s="70" t="s">
        <v>99</v>
      </c>
      <c r="B37" s="88" t="s">
        <v>100</v>
      </c>
      <c r="C37" s="72" t="s">
        <v>12</v>
      </c>
      <c r="D37" s="73" t="s">
        <v>6</v>
      </c>
      <c r="E37" s="73">
        <v>74</v>
      </c>
      <c r="F37" s="73">
        <v>88</v>
      </c>
      <c r="G37" s="74">
        <v>6512</v>
      </c>
    </row>
    <row r="38" spans="1:7">
      <c r="A38" s="70" t="s">
        <v>101</v>
      </c>
      <c r="B38" s="88" t="s">
        <v>102</v>
      </c>
      <c r="C38" s="72" t="s">
        <v>12</v>
      </c>
      <c r="D38" s="73" t="s">
        <v>20</v>
      </c>
      <c r="E38" s="73">
        <v>76</v>
      </c>
      <c r="F38" s="73">
        <v>45</v>
      </c>
      <c r="G38" s="74">
        <v>3420</v>
      </c>
    </row>
    <row r="39" spans="1:7">
      <c r="A39" s="70" t="s">
        <v>103</v>
      </c>
      <c r="B39" s="88" t="s">
        <v>104</v>
      </c>
      <c r="C39" s="72" t="s">
        <v>21</v>
      </c>
      <c r="D39" s="73" t="s">
        <v>6</v>
      </c>
      <c r="E39" s="73">
        <v>86</v>
      </c>
      <c r="F39" s="73">
        <v>65</v>
      </c>
      <c r="G39" s="74">
        <v>5590</v>
      </c>
    </row>
    <row r="40" spans="1:7">
      <c r="A40" s="70" t="s">
        <v>105</v>
      </c>
      <c r="B40" s="88" t="s">
        <v>106</v>
      </c>
      <c r="C40" s="72" t="s">
        <v>21</v>
      </c>
      <c r="D40" s="73" t="s">
        <v>8</v>
      </c>
      <c r="E40" s="73">
        <v>66</v>
      </c>
      <c r="F40" s="73">
        <v>88</v>
      </c>
      <c r="G40" s="74">
        <v>5808</v>
      </c>
    </row>
    <row r="41" spans="1:7">
      <c r="A41" s="70" t="s">
        <v>107</v>
      </c>
      <c r="B41" s="88" t="s">
        <v>108</v>
      </c>
      <c r="C41" s="72" t="s">
        <v>21</v>
      </c>
      <c r="D41" s="73" t="s">
        <v>10</v>
      </c>
      <c r="E41" s="73">
        <v>48</v>
      </c>
      <c r="F41" s="73">
        <v>45</v>
      </c>
      <c r="G41" s="74">
        <v>2160</v>
      </c>
    </row>
    <row r="42" spans="1:7">
      <c r="A42" s="70" t="s">
        <v>109</v>
      </c>
      <c r="B42" s="88" t="s">
        <v>110</v>
      </c>
      <c r="C42" s="72" t="s">
        <v>21</v>
      </c>
      <c r="D42" s="73" t="s">
        <v>13</v>
      </c>
      <c r="E42" s="73">
        <v>87</v>
      </c>
      <c r="F42" s="73">
        <v>65</v>
      </c>
      <c r="G42" s="74">
        <v>5655</v>
      </c>
    </row>
    <row r="43" spans="1:7">
      <c r="A43" s="70" t="s">
        <v>111</v>
      </c>
      <c r="B43" s="88" t="s">
        <v>112</v>
      </c>
      <c r="C43" s="72" t="s">
        <v>21</v>
      </c>
      <c r="D43" s="73" t="s">
        <v>20</v>
      </c>
      <c r="E43" s="73">
        <v>65</v>
      </c>
      <c r="F43" s="73">
        <v>88</v>
      </c>
      <c r="G43" s="74">
        <v>5720</v>
      </c>
    </row>
    <row r="44" spans="1:7">
      <c r="A44" s="70" t="s">
        <v>113</v>
      </c>
      <c r="B44" s="88" t="s">
        <v>114</v>
      </c>
      <c r="C44" s="72" t="s">
        <v>15</v>
      </c>
      <c r="D44" s="73" t="s">
        <v>6</v>
      </c>
      <c r="E44" s="73">
        <v>74</v>
      </c>
      <c r="F44" s="73">
        <v>75</v>
      </c>
      <c r="G44" s="74">
        <v>5550</v>
      </c>
    </row>
    <row r="45" spans="1:7">
      <c r="A45" s="70" t="s">
        <v>115</v>
      </c>
      <c r="B45" s="88" t="s">
        <v>116</v>
      </c>
      <c r="C45" s="72" t="s">
        <v>5</v>
      </c>
      <c r="D45" s="73" t="s">
        <v>8</v>
      </c>
      <c r="E45" s="73">
        <v>76</v>
      </c>
      <c r="F45" s="73">
        <v>45</v>
      </c>
      <c r="G45" s="74">
        <v>3420</v>
      </c>
    </row>
    <row r="46" spans="1:7">
      <c r="A46" s="70" t="s">
        <v>117</v>
      </c>
      <c r="B46" s="88" t="s">
        <v>118</v>
      </c>
      <c r="C46" s="72" t="s">
        <v>5</v>
      </c>
      <c r="D46" s="73" t="s">
        <v>10</v>
      </c>
      <c r="E46" s="73">
        <v>86</v>
      </c>
      <c r="F46" s="73">
        <v>65</v>
      </c>
      <c r="G46" s="74">
        <v>5590</v>
      </c>
    </row>
    <row r="47" spans="1:7">
      <c r="A47" s="70" t="s">
        <v>119</v>
      </c>
      <c r="B47" s="88" t="s">
        <v>120</v>
      </c>
      <c r="C47" s="72" t="s">
        <v>15</v>
      </c>
      <c r="D47" s="73" t="s">
        <v>13</v>
      </c>
      <c r="E47" s="73">
        <v>66</v>
      </c>
      <c r="F47" s="73">
        <v>88</v>
      </c>
      <c r="G47" s="74">
        <v>5808</v>
      </c>
    </row>
    <row r="48" spans="1:7">
      <c r="A48" s="70" t="s">
        <v>121</v>
      </c>
      <c r="B48" s="88" t="s">
        <v>122</v>
      </c>
      <c r="C48" s="72" t="s">
        <v>21</v>
      </c>
      <c r="D48" s="73" t="s">
        <v>16</v>
      </c>
      <c r="E48" s="73">
        <v>48</v>
      </c>
      <c r="F48" s="73">
        <v>75</v>
      </c>
      <c r="G48" s="74">
        <v>3600</v>
      </c>
    </row>
    <row r="49" spans="1:7">
      <c r="A49" s="70" t="s">
        <v>123</v>
      </c>
      <c r="B49" s="88" t="s">
        <v>124</v>
      </c>
      <c r="C49" s="72" t="s">
        <v>5</v>
      </c>
      <c r="D49" s="73" t="s">
        <v>18</v>
      </c>
      <c r="E49" s="73">
        <v>87</v>
      </c>
      <c r="F49" s="73">
        <v>46</v>
      </c>
      <c r="G49" s="74">
        <v>4002</v>
      </c>
    </row>
    <row r="50" spans="1:7">
      <c r="A50" s="70" t="s">
        <v>125</v>
      </c>
      <c r="B50" s="88" t="s">
        <v>126</v>
      </c>
      <c r="C50" s="72" t="s">
        <v>15</v>
      </c>
      <c r="D50" s="73" t="s">
        <v>20</v>
      </c>
      <c r="E50" s="73">
        <v>65</v>
      </c>
      <c r="F50" s="73">
        <v>78</v>
      </c>
      <c r="G50" s="74">
        <v>5070</v>
      </c>
    </row>
    <row r="51" spans="1:7">
      <c r="A51" s="70" t="s">
        <v>127</v>
      </c>
      <c r="B51" s="88" t="s">
        <v>128</v>
      </c>
      <c r="C51" s="72" t="s">
        <v>15</v>
      </c>
      <c r="D51" s="73" t="s">
        <v>6</v>
      </c>
      <c r="E51" s="73">
        <v>74</v>
      </c>
      <c r="F51" s="73">
        <v>88</v>
      </c>
      <c r="G51" s="74">
        <v>6512</v>
      </c>
    </row>
    <row r="52" spans="1:7">
      <c r="A52" s="70" t="s">
        <v>129</v>
      </c>
      <c r="B52" s="88" t="s">
        <v>130</v>
      </c>
      <c r="C52" s="72" t="s">
        <v>5</v>
      </c>
      <c r="D52" s="73" t="s">
        <v>20</v>
      </c>
      <c r="E52" s="73">
        <v>76</v>
      </c>
      <c r="F52" s="73">
        <v>45</v>
      </c>
      <c r="G52" s="74">
        <v>3420</v>
      </c>
    </row>
    <row r="53" spans="1:7">
      <c r="A53" s="70" t="s">
        <v>131</v>
      </c>
      <c r="B53" s="88" t="s">
        <v>132</v>
      </c>
      <c r="C53" s="72" t="s">
        <v>5</v>
      </c>
      <c r="D53" s="73" t="s">
        <v>6</v>
      </c>
      <c r="E53" s="73">
        <v>86</v>
      </c>
      <c r="F53" s="73">
        <v>65</v>
      </c>
      <c r="G53" s="74">
        <v>5590</v>
      </c>
    </row>
    <row r="54" spans="1:7">
      <c r="A54" s="70" t="s">
        <v>133</v>
      </c>
      <c r="B54" s="88" t="s">
        <v>134</v>
      </c>
      <c r="C54" s="72" t="s">
        <v>15</v>
      </c>
      <c r="D54" s="73" t="s">
        <v>8</v>
      </c>
      <c r="E54" s="73">
        <v>66</v>
      </c>
      <c r="F54" s="73">
        <v>88</v>
      </c>
      <c r="G54" s="74">
        <v>5808</v>
      </c>
    </row>
    <row r="55" spans="1:7">
      <c r="A55" s="70" t="s">
        <v>135</v>
      </c>
      <c r="B55" s="88" t="s">
        <v>136</v>
      </c>
      <c r="C55" s="72" t="s">
        <v>5</v>
      </c>
      <c r="D55" s="73" t="s">
        <v>10</v>
      </c>
      <c r="E55" s="73">
        <v>48</v>
      </c>
      <c r="F55" s="73">
        <v>45</v>
      </c>
      <c r="G55" s="74">
        <v>2160</v>
      </c>
    </row>
    <row r="56" spans="1:7">
      <c r="A56" s="70" t="s">
        <v>137</v>
      </c>
      <c r="B56" s="88" t="s">
        <v>138</v>
      </c>
      <c r="C56" s="72" t="s">
        <v>15</v>
      </c>
      <c r="D56" s="73" t="s">
        <v>13</v>
      </c>
      <c r="E56" s="73">
        <v>87</v>
      </c>
      <c r="F56" s="73">
        <v>65</v>
      </c>
      <c r="G56" s="74">
        <v>5655</v>
      </c>
    </row>
    <row r="57" spans="1:7">
      <c r="A57" s="70" t="s">
        <v>139</v>
      </c>
      <c r="B57" s="88" t="s">
        <v>140</v>
      </c>
      <c r="C57" s="72" t="s">
        <v>21</v>
      </c>
      <c r="D57" s="73" t="s">
        <v>20</v>
      </c>
      <c r="E57" s="73">
        <v>65</v>
      </c>
      <c r="F57" s="73">
        <v>88</v>
      </c>
      <c r="G57" s="74">
        <v>5720</v>
      </c>
    </row>
    <row r="58" spans="1:7">
      <c r="A58" s="70" t="s">
        <v>141</v>
      </c>
      <c r="B58" s="88" t="s">
        <v>142</v>
      </c>
      <c r="C58" s="72" t="s">
        <v>5</v>
      </c>
      <c r="D58" s="73" t="s">
        <v>6</v>
      </c>
      <c r="E58" s="73">
        <v>74</v>
      </c>
      <c r="F58" s="73">
        <v>75</v>
      </c>
      <c r="G58" s="74">
        <v>5550</v>
      </c>
    </row>
    <row r="59" spans="1:7">
      <c r="A59" s="70" t="s">
        <v>143</v>
      </c>
      <c r="B59" s="88" t="s">
        <v>144</v>
      </c>
      <c r="C59" s="72" t="s">
        <v>5</v>
      </c>
      <c r="D59" s="73" t="s">
        <v>8</v>
      </c>
      <c r="E59" s="73">
        <v>76</v>
      </c>
      <c r="F59" s="73">
        <v>45</v>
      </c>
      <c r="G59" s="74">
        <v>3420</v>
      </c>
    </row>
    <row r="60" spans="1:7">
      <c r="A60" s="70" t="s">
        <v>145</v>
      </c>
      <c r="B60" s="88" t="s">
        <v>146</v>
      </c>
      <c r="C60" s="72" t="s">
        <v>15</v>
      </c>
      <c r="D60" s="73" t="s">
        <v>10</v>
      </c>
      <c r="E60" s="73">
        <v>86</v>
      </c>
      <c r="F60" s="73">
        <v>65</v>
      </c>
      <c r="G60" s="74">
        <v>5590</v>
      </c>
    </row>
    <row r="61" spans="1:7">
      <c r="A61" s="70" t="s">
        <v>147</v>
      </c>
      <c r="B61" s="88" t="s">
        <v>148</v>
      </c>
      <c r="C61" s="72" t="s">
        <v>15</v>
      </c>
      <c r="D61" s="73" t="s">
        <v>13</v>
      </c>
      <c r="E61" s="73">
        <v>66</v>
      </c>
      <c r="F61" s="73">
        <v>88</v>
      </c>
      <c r="G61" s="74">
        <v>5808</v>
      </c>
    </row>
    <row r="62" spans="1:7">
      <c r="A62" s="89" t="s">
        <v>149</v>
      </c>
      <c r="B62" s="88" t="s">
        <v>150</v>
      </c>
      <c r="C62" s="90" t="s">
        <v>12</v>
      </c>
      <c r="D62" s="73" t="s">
        <v>16</v>
      </c>
      <c r="E62" s="73">
        <v>48</v>
      </c>
      <c r="F62" s="73">
        <v>75</v>
      </c>
      <c r="G62" s="74">
        <v>3600</v>
      </c>
    </row>
    <row r="63" spans="1:7">
      <c r="A63" s="89" t="s">
        <v>151</v>
      </c>
      <c r="B63" s="88" t="s">
        <v>152</v>
      </c>
      <c r="C63" s="90" t="s">
        <v>12</v>
      </c>
      <c r="D63" s="73" t="s">
        <v>18</v>
      </c>
      <c r="E63" s="73">
        <v>87</v>
      </c>
      <c r="F63" s="73">
        <v>46</v>
      </c>
      <c r="G63" s="74">
        <v>4002</v>
      </c>
    </row>
    <row r="64" spans="1:7">
      <c r="A64" s="89" t="s">
        <v>153</v>
      </c>
      <c r="B64" s="88" t="s">
        <v>154</v>
      </c>
      <c r="C64" s="90" t="s">
        <v>12</v>
      </c>
      <c r="D64" s="73" t="s">
        <v>20</v>
      </c>
      <c r="E64" s="73">
        <v>65</v>
      </c>
      <c r="F64" s="73">
        <v>78</v>
      </c>
      <c r="G64" s="74">
        <v>5070</v>
      </c>
    </row>
    <row r="65" spans="1:7">
      <c r="A65" s="89" t="s">
        <v>155</v>
      </c>
      <c r="B65" s="88" t="s">
        <v>156</v>
      </c>
      <c r="C65" s="90" t="s">
        <v>12</v>
      </c>
      <c r="D65" s="73" t="s">
        <v>6</v>
      </c>
      <c r="E65" s="73">
        <v>74</v>
      </c>
      <c r="F65" s="73">
        <v>88</v>
      </c>
      <c r="G65" s="74">
        <v>6512</v>
      </c>
    </row>
    <row r="66" spans="1:7">
      <c r="A66" s="89" t="s">
        <v>157</v>
      </c>
      <c r="B66" s="88" t="s">
        <v>158</v>
      </c>
      <c r="C66" s="90" t="s">
        <v>12</v>
      </c>
      <c r="D66" s="73" t="s">
        <v>20</v>
      </c>
      <c r="E66" s="73">
        <v>76</v>
      </c>
      <c r="F66" s="73">
        <v>45</v>
      </c>
      <c r="G66" s="74">
        <v>3420</v>
      </c>
    </row>
    <row r="67" spans="1:7">
      <c r="A67" s="89" t="s">
        <v>159</v>
      </c>
      <c r="B67" s="88" t="s">
        <v>160</v>
      </c>
      <c r="C67" s="72" t="s">
        <v>5</v>
      </c>
      <c r="D67" s="73" t="s">
        <v>6</v>
      </c>
      <c r="E67" s="73">
        <v>86</v>
      </c>
      <c r="F67" s="73">
        <v>65</v>
      </c>
      <c r="G67" s="74">
        <v>5590</v>
      </c>
    </row>
    <row r="68" spans="1:7">
      <c r="A68" s="89" t="s">
        <v>161</v>
      </c>
      <c r="B68" s="88" t="s">
        <v>162</v>
      </c>
      <c r="C68" s="72" t="s">
        <v>21</v>
      </c>
      <c r="D68" s="73" t="s">
        <v>8</v>
      </c>
      <c r="E68" s="73">
        <v>66</v>
      </c>
      <c r="F68" s="73">
        <v>88</v>
      </c>
      <c r="G68" s="74">
        <v>5808</v>
      </c>
    </row>
    <row r="69" spans="1:7">
      <c r="A69" s="89" t="s">
        <v>163</v>
      </c>
      <c r="B69" s="88" t="s">
        <v>164</v>
      </c>
      <c r="C69" s="72" t="s">
        <v>5</v>
      </c>
      <c r="D69" s="73" t="s">
        <v>10</v>
      </c>
      <c r="E69" s="73">
        <v>48</v>
      </c>
      <c r="F69" s="73">
        <v>45</v>
      </c>
      <c r="G69" s="74">
        <v>2160</v>
      </c>
    </row>
    <row r="70" spans="1:7">
      <c r="A70" s="89" t="s">
        <v>165</v>
      </c>
      <c r="B70" s="88" t="s">
        <v>166</v>
      </c>
      <c r="C70" s="72" t="s">
        <v>15</v>
      </c>
      <c r="D70" s="73" t="s">
        <v>13</v>
      </c>
      <c r="E70" s="73">
        <v>87</v>
      </c>
      <c r="F70" s="73">
        <v>65</v>
      </c>
      <c r="G70" s="74">
        <v>5655</v>
      </c>
    </row>
    <row r="71" spans="1:7">
      <c r="A71" s="89" t="s">
        <v>167</v>
      </c>
      <c r="B71" s="88" t="s">
        <v>168</v>
      </c>
      <c r="C71" s="72" t="s">
        <v>15</v>
      </c>
      <c r="D71" s="73" t="s">
        <v>20</v>
      </c>
      <c r="E71" s="73">
        <v>65</v>
      </c>
      <c r="F71" s="73">
        <v>88</v>
      </c>
      <c r="G71" s="74">
        <v>5720</v>
      </c>
    </row>
    <row r="72" spans="1:7">
      <c r="A72" s="89" t="s">
        <v>169</v>
      </c>
      <c r="B72" s="88" t="s">
        <v>170</v>
      </c>
      <c r="C72" s="72" t="s">
        <v>5</v>
      </c>
      <c r="D72" s="73" t="s">
        <v>20</v>
      </c>
      <c r="E72" s="73">
        <v>74</v>
      </c>
      <c r="F72" s="73">
        <v>75</v>
      </c>
      <c r="G72" s="74">
        <v>5550</v>
      </c>
    </row>
    <row r="73" spans="1:7">
      <c r="A73" s="89" t="s">
        <v>171</v>
      </c>
      <c r="B73" s="88" t="s">
        <v>172</v>
      </c>
      <c r="C73" s="72" t="s">
        <v>15</v>
      </c>
      <c r="D73" s="73" t="s">
        <v>6</v>
      </c>
      <c r="E73" s="73">
        <v>76</v>
      </c>
      <c r="F73" s="73">
        <v>45</v>
      </c>
      <c r="G73" s="74">
        <v>3420</v>
      </c>
    </row>
    <row r="74" spans="1:7">
      <c r="A74" s="89" t="s">
        <v>173</v>
      </c>
      <c r="B74" s="88" t="s">
        <v>174</v>
      </c>
      <c r="C74" s="72" t="s">
        <v>15</v>
      </c>
      <c r="D74" s="73" t="s">
        <v>8</v>
      </c>
      <c r="E74" s="73">
        <v>86</v>
      </c>
      <c r="F74" s="73">
        <v>65</v>
      </c>
      <c r="G74" s="74">
        <v>5590</v>
      </c>
    </row>
    <row r="75" spans="1:7">
      <c r="A75" s="89" t="s">
        <v>175</v>
      </c>
      <c r="B75" s="88" t="s">
        <v>176</v>
      </c>
      <c r="C75" s="72" t="s">
        <v>15</v>
      </c>
      <c r="D75" s="73" t="s">
        <v>10</v>
      </c>
      <c r="E75" s="73">
        <v>66</v>
      </c>
      <c r="F75" s="73">
        <v>88</v>
      </c>
      <c r="G75" s="74">
        <v>5808</v>
      </c>
    </row>
    <row r="76" spans="1:7">
      <c r="A76" s="89" t="s">
        <v>177</v>
      </c>
      <c r="B76" s="88" t="s">
        <v>178</v>
      </c>
      <c r="C76" s="72" t="s">
        <v>15</v>
      </c>
      <c r="D76" s="73" t="s">
        <v>13</v>
      </c>
      <c r="E76" s="73">
        <v>48</v>
      </c>
      <c r="F76" s="73">
        <v>75</v>
      </c>
      <c r="G76" s="74">
        <v>3600</v>
      </c>
    </row>
    <row r="77" spans="1:7">
      <c r="A77" s="89" t="s">
        <v>179</v>
      </c>
      <c r="B77" s="88" t="s">
        <v>180</v>
      </c>
      <c r="C77" s="72" t="s">
        <v>15</v>
      </c>
      <c r="D77" s="73" t="s">
        <v>16</v>
      </c>
      <c r="E77" s="73">
        <v>87</v>
      </c>
      <c r="F77" s="73">
        <v>46</v>
      </c>
      <c r="G77" s="74">
        <v>4002</v>
      </c>
    </row>
    <row r="78" spans="1:7">
      <c r="A78" s="89" t="s">
        <v>181</v>
      </c>
      <c r="B78" s="88" t="s">
        <v>182</v>
      </c>
      <c r="C78" s="72" t="s">
        <v>21</v>
      </c>
      <c r="D78" s="73" t="s">
        <v>18</v>
      </c>
      <c r="E78" s="73">
        <v>65</v>
      </c>
      <c r="F78" s="73">
        <v>78</v>
      </c>
      <c r="G78" s="74">
        <v>5070</v>
      </c>
    </row>
    <row r="79" spans="1:7">
      <c r="A79" s="89" t="s">
        <v>183</v>
      </c>
      <c r="B79" s="88" t="s">
        <v>184</v>
      </c>
      <c r="C79" s="72" t="s">
        <v>21</v>
      </c>
      <c r="D79" s="73" t="s">
        <v>20</v>
      </c>
      <c r="E79" s="73">
        <v>74</v>
      </c>
      <c r="F79" s="73">
        <v>88</v>
      </c>
      <c r="G79" s="74">
        <v>6512</v>
      </c>
    </row>
    <row r="80" spans="1:7">
      <c r="A80" s="89" t="s">
        <v>185</v>
      </c>
      <c r="B80" s="88" t="s">
        <v>186</v>
      </c>
      <c r="C80" s="72" t="s">
        <v>21</v>
      </c>
      <c r="D80" s="73" t="s">
        <v>6</v>
      </c>
      <c r="E80" s="73">
        <v>76</v>
      </c>
      <c r="F80" s="73">
        <v>45</v>
      </c>
      <c r="G80" s="74">
        <v>3420</v>
      </c>
    </row>
    <row r="81" spans="1:7">
      <c r="A81" s="89" t="s">
        <v>187</v>
      </c>
      <c r="B81" s="88" t="s">
        <v>188</v>
      </c>
      <c r="C81" s="72" t="s">
        <v>12</v>
      </c>
      <c r="D81" s="73" t="s">
        <v>20</v>
      </c>
      <c r="E81" s="73">
        <v>86</v>
      </c>
      <c r="F81" s="73">
        <v>65</v>
      </c>
      <c r="G81" s="74">
        <v>5590</v>
      </c>
    </row>
    <row r="82" spans="1:7">
      <c r="A82" s="89" t="s">
        <v>189</v>
      </c>
      <c r="B82" s="88" t="s">
        <v>190</v>
      </c>
      <c r="C82" s="72" t="s">
        <v>5</v>
      </c>
      <c r="D82" s="73" t="s">
        <v>6</v>
      </c>
      <c r="E82" s="73">
        <v>66</v>
      </c>
      <c r="F82" s="73">
        <v>88</v>
      </c>
      <c r="G82" s="74">
        <v>5808</v>
      </c>
    </row>
    <row r="83" spans="1:7">
      <c r="A83" s="89" t="s">
        <v>191</v>
      </c>
      <c r="B83" s="88" t="s">
        <v>192</v>
      </c>
      <c r="C83" s="72" t="s">
        <v>5</v>
      </c>
      <c r="D83" s="73" t="s">
        <v>8</v>
      </c>
      <c r="E83" s="73">
        <v>48</v>
      </c>
      <c r="F83" s="73">
        <v>45</v>
      </c>
      <c r="G83" s="74">
        <v>2160</v>
      </c>
    </row>
    <row r="84" spans="1:7">
      <c r="A84" s="89" t="s">
        <v>193</v>
      </c>
      <c r="B84" s="88" t="s">
        <v>194</v>
      </c>
      <c r="C84" s="72" t="s">
        <v>21</v>
      </c>
      <c r="D84" s="73" t="s">
        <v>10</v>
      </c>
      <c r="E84" s="73">
        <v>87</v>
      </c>
      <c r="F84" s="73">
        <v>65</v>
      </c>
      <c r="G84" s="74">
        <v>5655</v>
      </c>
    </row>
    <row r="85" spans="1:7">
      <c r="A85" s="89" t="s">
        <v>195</v>
      </c>
      <c r="B85" s="88" t="s">
        <v>196</v>
      </c>
      <c r="C85" s="72" t="s">
        <v>5</v>
      </c>
      <c r="D85" s="73" t="s">
        <v>13</v>
      </c>
      <c r="E85" s="73">
        <v>65</v>
      </c>
      <c r="F85" s="73">
        <v>88</v>
      </c>
      <c r="G85" s="74">
        <v>5720</v>
      </c>
    </row>
    <row r="86" spans="1:7">
      <c r="A86" s="89" t="s">
        <v>197</v>
      </c>
      <c r="B86" s="88" t="s">
        <v>198</v>
      </c>
      <c r="C86" s="72" t="s">
        <v>15</v>
      </c>
      <c r="D86" s="73" t="s">
        <v>20</v>
      </c>
      <c r="E86" s="73">
        <v>74</v>
      </c>
      <c r="F86" s="73">
        <v>75</v>
      </c>
      <c r="G86" s="74">
        <v>5550</v>
      </c>
    </row>
    <row r="87" spans="1:7">
      <c r="A87" s="89">
        <v>45638</v>
      </c>
      <c r="B87" s="88" t="s">
        <v>199</v>
      </c>
      <c r="C87" s="72" t="s">
        <v>21</v>
      </c>
      <c r="D87" s="73" t="s">
        <v>6</v>
      </c>
      <c r="E87" s="73">
        <v>76</v>
      </c>
      <c r="F87" s="73">
        <v>46</v>
      </c>
      <c r="G87" s="74">
        <v>3496</v>
      </c>
    </row>
    <row r="88" spans="1:7">
      <c r="A88" s="89" t="s">
        <v>200</v>
      </c>
      <c r="B88" s="88" t="s">
        <v>201</v>
      </c>
      <c r="C88" s="72" t="s">
        <v>15</v>
      </c>
      <c r="D88" s="73" t="s">
        <v>8</v>
      </c>
      <c r="E88" s="73">
        <v>86</v>
      </c>
      <c r="F88" s="73">
        <v>45</v>
      </c>
      <c r="G88" s="74">
        <v>3870</v>
      </c>
    </row>
    <row r="89" spans="1:7">
      <c r="A89" s="89" t="s">
        <v>202</v>
      </c>
      <c r="B89" s="88" t="s">
        <v>203</v>
      </c>
      <c r="C89" s="72" t="s">
        <v>21</v>
      </c>
      <c r="D89" s="73" t="s">
        <v>10</v>
      </c>
      <c r="E89" s="73">
        <v>66</v>
      </c>
      <c r="F89" s="73">
        <v>65</v>
      </c>
      <c r="G89" s="74">
        <v>4290</v>
      </c>
    </row>
    <row r="90" spans="1:7">
      <c r="A90" s="89" t="s">
        <v>204</v>
      </c>
      <c r="B90" s="88" t="s">
        <v>205</v>
      </c>
      <c r="C90" s="72" t="s">
        <v>21</v>
      </c>
      <c r="D90" s="73" t="s">
        <v>13</v>
      </c>
      <c r="E90" s="73">
        <v>48</v>
      </c>
      <c r="F90" s="73">
        <v>88</v>
      </c>
      <c r="G90" s="74">
        <v>4224</v>
      </c>
    </row>
    <row r="91" spans="1:7">
      <c r="A91" s="89" t="s">
        <v>206</v>
      </c>
      <c r="B91" s="88" t="s">
        <v>207</v>
      </c>
      <c r="C91" s="72" t="s">
        <v>21</v>
      </c>
      <c r="D91" s="73" t="s">
        <v>16</v>
      </c>
      <c r="E91" s="73">
        <v>87</v>
      </c>
      <c r="F91" s="73">
        <v>75</v>
      </c>
      <c r="G91" s="74">
        <v>6525</v>
      </c>
    </row>
    <row r="92" spans="1:7">
      <c r="A92" s="89" t="s">
        <v>208</v>
      </c>
      <c r="B92" s="88" t="s">
        <v>209</v>
      </c>
      <c r="C92" s="72" t="s">
        <v>21</v>
      </c>
      <c r="D92" s="73" t="s">
        <v>18</v>
      </c>
      <c r="E92" s="73">
        <v>65</v>
      </c>
      <c r="F92" s="73">
        <v>46</v>
      </c>
      <c r="G92" s="74">
        <v>2990</v>
      </c>
    </row>
    <row r="93" spans="1:7">
      <c r="A93" s="89" t="s">
        <v>210</v>
      </c>
      <c r="B93" s="88" t="s">
        <v>211</v>
      </c>
      <c r="C93" s="72" t="s">
        <v>21</v>
      </c>
      <c r="D93" s="73" t="s">
        <v>20</v>
      </c>
      <c r="E93" s="73">
        <v>74</v>
      </c>
      <c r="F93" s="73">
        <v>78</v>
      </c>
      <c r="G93" s="74">
        <v>5772</v>
      </c>
    </row>
    <row r="94" spans="1:7">
      <c r="A94" s="89" t="s">
        <v>212</v>
      </c>
      <c r="B94" s="88" t="s">
        <v>213</v>
      </c>
      <c r="C94" s="72" t="s">
        <v>5</v>
      </c>
      <c r="D94" s="73" t="s">
        <v>6</v>
      </c>
      <c r="E94" s="73">
        <v>76</v>
      </c>
      <c r="F94" s="73">
        <v>45</v>
      </c>
      <c r="G94" s="74">
        <v>3420</v>
      </c>
    </row>
    <row r="95" spans="1:7">
      <c r="A95" s="89" t="s">
        <v>214</v>
      </c>
      <c r="B95" s="88" t="s">
        <v>215</v>
      </c>
      <c r="C95" s="72" t="s">
        <v>15</v>
      </c>
      <c r="D95" s="73" t="s">
        <v>20</v>
      </c>
      <c r="E95" s="73">
        <v>86</v>
      </c>
      <c r="F95" s="73">
        <v>65</v>
      </c>
      <c r="G95" s="74">
        <v>5590</v>
      </c>
    </row>
    <row r="96" spans="1:7">
      <c r="A96" s="89">
        <v>46307</v>
      </c>
      <c r="B96" s="88" t="s">
        <v>216</v>
      </c>
      <c r="C96" s="72" t="s">
        <v>15</v>
      </c>
      <c r="D96" s="73" t="s">
        <v>6</v>
      </c>
      <c r="E96" s="73">
        <v>66</v>
      </c>
      <c r="F96" s="73">
        <v>88</v>
      </c>
      <c r="G96" s="74">
        <v>5808</v>
      </c>
    </row>
    <row r="97" spans="1:7">
      <c r="A97" s="89" t="s">
        <v>217</v>
      </c>
      <c r="B97" s="88" t="s">
        <v>218</v>
      </c>
      <c r="C97" s="72" t="s">
        <v>15</v>
      </c>
      <c r="D97" s="73" t="s">
        <v>8</v>
      </c>
      <c r="E97" s="73">
        <v>48</v>
      </c>
      <c r="F97" s="73">
        <v>75</v>
      </c>
      <c r="G97" s="74">
        <v>3600</v>
      </c>
    </row>
    <row r="98" spans="1:7">
      <c r="A98" s="89" t="s">
        <v>219</v>
      </c>
      <c r="B98" s="88" t="s">
        <v>220</v>
      </c>
      <c r="C98" s="72" t="s">
        <v>12</v>
      </c>
      <c r="D98" s="73" t="s">
        <v>10</v>
      </c>
      <c r="E98" s="73">
        <v>87</v>
      </c>
      <c r="F98" s="73">
        <v>46</v>
      </c>
      <c r="G98" s="74">
        <v>4002</v>
      </c>
    </row>
    <row r="99" spans="1:7">
      <c r="A99" s="89" t="s">
        <v>221</v>
      </c>
      <c r="B99" s="88" t="s">
        <v>222</v>
      </c>
      <c r="C99" s="72" t="s">
        <v>12</v>
      </c>
      <c r="D99" s="73" t="s">
        <v>13</v>
      </c>
      <c r="E99" s="73">
        <v>65</v>
      </c>
      <c r="F99" s="73">
        <v>78</v>
      </c>
      <c r="G99" s="74">
        <v>5070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workbookViewId="0">
      <selection activeCell="K106" sqref="K106"/>
    </sheetView>
  </sheetViews>
  <sheetFormatPr defaultColWidth="9" defaultRowHeight="14.4"/>
  <cols>
    <col min="1" max="1" width="20.8518518518519" style="52" customWidth="1"/>
    <col min="2" max="2" width="21.4259259259259" customWidth="1"/>
    <col min="3" max="3" width="15.712962962963" customWidth="1"/>
    <col min="4" max="4" width="17.4259259259259" customWidth="1"/>
    <col min="5" max="5" width="19.1388888888889" customWidth="1"/>
    <col min="6" max="6" width="18.8518518518519" customWidth="1"/>
    <col min="7" max="7" width="21.1388888888889" customWidth="1"/>
  </cols>
  <sheetData>
    <row r="1" ht="17.4" spans="1:10">
      <c r="A1" s="68" t="s">
        <v>24</v>
      </c>
      <c r="B1" s="69" t="s">
        <v>0</v>
      </c>
      <c r="C1" s="68" t="s">
        <v>1</v>
      </c>
      <c r="D1" s="68" t="s">
        <v>2</v>
      </c>
      <c r="E1" s="68" t="s">
        <v>26</v>
      </c>
      <c r="F1" s="68" t="s">
        <v>27</v>
      </c>
      <c r="G1" s="68" t="s">
        <v>28</v>
      </c>
    </row>
    <row r="2" spans="1:10">
      <c r="A2" s="70" t="s">
        <v>29</v>
      </c>
      <c r="B2" s="71" t="s">
        <v>4</v>
      </c>
      <c r="C2" s="72" t="s">
        <v>5</v>
      </c>
      <c r="D2" s="73" t="s">
        <v>6</v>
      </c>
      <c r="E2" s="73">
        <v>74</v>
      </c>
      <c r="F2" s="73">
        <v>45</v>
      </c>
      <c r="G2" s="74">
        <v>3330</v>
      </c>
    </row>
    <row r="3" spans="1:10">
      <c r="A3" s="70" t="s">
        <v>31</v>
      </c>
      <c r="B3" s="71" t="s">
        <v>7</v>
      </c>
      <c r="C3" s="72" t="s">
        <v>5</v>
      </c>
      <c r="D3" s="73" t="s">
        <v>8</v>
      </c>
      <c r="E3" s="73">
        <v>76</v>
      </c>
      <c r="F3" s="73">
        <v>88</v>
      </c>
      <c r="G3" s="74">
        <v>6688</v>
      </c>
    </row>
    <row r="4" spans="1:10">
      <c r="A4" s="70" t="s">
        <v>33</v>
      </c>
      <c r="B4" s="71" t="s">
        <v>9</v>
      </c>
      <c r="C4" s="72" t="s">
        <v>5</v>
      </c>
      <c r="D4" s="73" t="s">
        <v>10</v>
      </c>
      <c r="E4" s="73">
        <v>86</v>
      </c>
      <c r="F4" s="73">
        <v>75</v>
      </c>
      <c r="G4" s="74">
        <v>6450</v>
      </c>
    </row>
    <row r="5" spans="1:10">
      <c r="A5" s="70" t="s">
        <v>35</v>
      </c>
      <c r="B5" s="71" t="s">
        <v>11</v>
      </c>
      <c r="C5" s="72" t="s">
        <v>12</v>
      </c>
      <c r="D5" s="73" t="s">
        <v>13</v>
      </c>
      <c r="E5" s="73">
        <v>66</v>
      </c>
      <c r="F5" s="73">
        <v>46</v>
      </c>
      <c r="G5" s="74">
        <v>3036</v>
      </c>
    </row>
    <row r="6" spans="1:10">
      <c r="A6" s="70" t="s">
        <v>37</v>
      </c>
      <c r="B6" s="71" t="s">
        <v>14</v>
      </c>
      <c r="C6" s="72" t="s">
        <v>15</v>
      </c>
      <c r="D6" s="73" t="s">
        <v>16</v>
      </c>
      <c r="E6" s="73">
        <v>48</v>
      </c>
      <c r="F6" s="73">
        <v>78</v>
      </c>
      <c r="G6" s="74">
        <v>3744</v>
      </c>
    </row>
    <row r="7" spans="1:10">
      <c r="A7" s="70" t="s">
        <v>39</v>
      </c>
      <c r="B7" s="71" t="s">
        <v>17</v>
      </c>
      <c r="C7" s="72" t="s">
        <v>15</v>
      </c>
      <c r="D7" s="73" t="s">
        <v>18</v>
      </c>
      <c r="E7" s="73">
        <v>87</v>
      </c>
      <c r="F7" s="73">
        <v>88</v>
      </c>
      <c r="G7" s="74">
        <v>7656</v>
      </c>
    </row>
    <row r="8" spans="1:10">
      <c r="A8" s="70" t="s">
        <v>41</v>
      </c>
      <c r="B8" s="71" t="s">
        <v>19</v>
      </c>
      <c r="C8" s="72" t="s">
        <v>15</v>
      </c>
      <c r="D8" s="73" t="s">
        <v>20</v>
      </c>
      <c r="E8" s="73">
        <v>65</v>
      </c>
      <c r="F8" s="73">
        <v>45</v>
      </c>
      <c r="G8" s="74">
        <v>2925</v>
      </c>
    </row>
    <row r="9" spans="1:10">
      <c r="A9" s="70" t="s">
        <v>43</v>
      </c>
      <c r="B9" s="71" t="s">
        <v>4</v>
      </c>
      <c r="C9" s="72" t="s">
        <v>15</v>
      </c>
      <c r="D9" s="73" t="s">
        <v>6</v>
      </c>
      <c r="E9" s="73">
        <v>74</v>
      </c>
      <c r="F9" s="73">
        <v>65</v>
      </c>
      <c r="G9" s="74">
        <v>4810</v>
      </c>
    </row>
    <row r="10" spans="1:10">
      <c r="A10" s="70" t="s">
        <v>45</v>
      </c>
      <c r="B10" s="71" t="s">
        <v>7</v>
      </c>
      <c r="C10" s="72" t="s">
        <v>15</v>
      </c>
      <c r="D10" s="73" t="s">
        <v>20</v>
      </c>
      <c r="E10" s="73">
        <v>76</v>
      </c>
      <c r="F10" s="73">
        <v>88</v>
      </c>
      <c r="G10" s="74">
        <v>6688</v>
      </c>
    </row>
    <row r="11" spans="1:10">
      <c r="A11" s="70" t="s">
        <v>47</v>
      </c>
      <c r="B11" s="71" t="s">
        <v>4</v>
      </c>
      <c r="C11" s="72" t="s">
        <v>15</v>
      </c>
      <c r="D11" s="73" t="s">
        <v>6</v>
      </c>
      <c r="E11" s="73">
        <v>86</v>
      </c>
      <c r="F11" s="73">
        <v>45</v>
      </c>
      <c r="G11" s="74">
        <v>3870</v>
      </c>
    </row>
    <row r="12" spans="1:10">
      <c r="A12" s="70" t="s">
        <v>49</v>
      </c>
      <c r="B12" s="71" t="s">
        <v>7</v>
      </c>
      <c r="C12" s="72" t="s">
        <v>21</v>
      </c>
      <c r="D12" s="73" t="s">
        <v>8</v>
      </c>
      <c r="E12" s="73">
        <v>66</v>
      </c>
      <c r="F12" s="73">
        <v>65</v>
      </c>
      <c r="G12" s="74">
        <v>4290</v>
      </c>
      <c r="J12" s="75"/>
    </row>
    <row r="13" spans="1:10">
      <c r="A13" s="70" t="s">
        <v>51</v>
      </c>
      <c r="B13" s="71" t="s">
        <v>9</v>
      </c>
      <c r="C13" s="72" t="s">
        <v>15</v>
      </c>
      <c r="D13" s="73" t="s">
        <v>10</v>
      </c>
      <c r="E13" s="73">
        <v>48</v>
      </c>
      <c r="F13" s="73">
        <v>88</v>
      </c>
      <c r="G13" s="74">
        <v>4224</v>
      </c>
    </row>
    <row r="14" spans="1:10">
      <c r="A14" s="70" t="s">
        <v>53</v>
      </c>
      <c r="B14" s="71" t="s">
        <v>11</v>
      </c>
      <c r="C14" s="72" t="s">
        <v>15</v>
      </c>
      <c r="D14" s="73" t="s">
        <v>13</v>
      </c>
      <c r="E14" s="73">
        <v>87</v>
      </c>
      <c r="F14" s="73">
        <v>75</v>
      </c>
      <c r="G14" s="74">
        <v>6525</v>
      </c>
    </row>
    <row r="15" spans="1:10">
      <c r="A15" s="70" t="s">
        <v>55</v>
      </c>
      <c r="B15" s="71" t="s">
        <v>14</v>
      </c>
      <c r="C15" s="72" t="s">
        <v>5</v>
      </c>
      <c r="D15" s="73" t="s">
        <v>20</v>
      </c>
      <c r="E15" s="73">
        <v>65</v>
      </c>
      <c r="F15" s="73">
        <v>46</v>
      </c>
      <c r="G15" s="74">
        <v>2990</v>
      </c>
    </row>
    <row r="16" spans="1:10">
      <c r="A16" s="70" t="s">
        <v>57</v>
      </c>
      <c r="B16" s="71" t="s">
        <v>17</v>
      </c>
      <c r="C16" s="72" t="s">
        <v>5</v>
      </c>
      <c r="D16" s="73" t="s">
        <v>6</v>
      </c>
      <c r="E16" s="73">
        <v>74</v>
      </c>
      <c r="F16" s="73">
        <v>45</v>
      </c>
      <c r="G16" s="74">
        <v>3330</v>
      </c>
    </row>
    <row r="17" spans="1:7">
      <c r="A17" s="70" t="s">
        <v>59</v>
      </c>
      <c r="B17" s="71" t="s">
        <v>19</v>
      </c>
      <c r="C17" s="72" t="s">
        <v>5</v>
      </c>
      <c r="D17" s="73" t="s">
        <v>8</v>
      </c>
      <c r="E17" s="73">
        <v>76</v>
      </c>
      <c r="F17" s="73">
        <v>65</v>
      </c>
      <c r="G17" s="74">
        <v>4940</v>
      </c>
    </row>
    <row r="18" spans="1:7">
      <c r="A18" s="70" t="s">
        <v>61</v>
      </c>
      <c r="B18" s="71" t="s">
        <v>4</v>
      </c>
      <c r="C18" s="72" t="s">
        <v>5</v>
      </c>
      <c r="D18" s="73" t="s">
        <v>10</v>
      </c>
      <c r="E18" s="73">
        <v>86</v>
      </c>
      <c r="F18" s="73">
        <v>88</v>
      </c>
      <c r="G18" s="74">
        <v>7568</v>
      </c>
    </row>
    <row r="19" spans="1:7">
      <c r="A19" s="70" t="s">
        <v>63</v>
      </c>
      <c r="B19" s="71" t="s">
        <v>7</v>
      </c>
      <c r="C19" s="72" t="s">
        <v>15</v>
      </c>
      <c r="D19" s="73" t="s">
        <v>13</v>
      </c>
      <c r="E19" s="73">
        <v>66</v>
      </c>
      <c r="F19" s="73">
        <v>75</v>
      </c>
      <c r="G19" s="74">
        <v>4950</v>
      </c>
    </row>
    <row r="20" spans="1:7">
      <c r="A20" s="70" t="s">
        <v>65</v>
      </c>
      <c r="B20" s="71" t="s">
        <v>4</v>
      </c>
      <c r="C20" s="72" t="s">
        <v>15</v>
      </c>
      <c r="D20" s="73" t="s">
        <v>16</v>
      </c>
      <c r="E20" s="73">
        <v>48</v>
      </c>
      <c r="F20" s="73">
        <v>46</v>
      </c>
      <c r="G20" s="74">
        <v>2208</v>
      </c>
    </row>
    <row r="21" spans="1:7">
      <c r="A21" s="70" t="s">
        <v>67</v>
      </c>
      <c r="B21" s="71" t="s">
        <v>7</v>
      </c>
      <c r="C21" s="72" t="s">
        <v>12</v>
      </c>
      <c r="D21" s="73" t="s">
        <v>18</v>
      </c>
      <c r="E21" s="73">
        <v>87</v>
      </c>
      <c r="F21" s="73">
        <v>78</v>
      </c>
      <c r="G21" s="74">
        <v>6786</v>
      </c>
    </row>
    <row r="22" spans="1:7">
      <c r="A22" s="70" t="s">
        <v>69</v>
      </c>
      <c r="B22" s="71" t="s">
        <v>9</v>
      </c>
      <c r="C22" s="72" t="s">
        <v>21</v>
      </c>
      <c r="D22" s="73" t="s">
        <v>20</v>
      </c>
      <c r="E22" s="73">
        <v>65</v>
      </c>
      <c r="F22" s="73">
        <v>88</v>
      </c>
      <c r="G22" s="74">
        <v>5720</v>
      </c>
    </row>
    <row r="23" spans="1:7">
      <c r="A23" s="70" t="s">
        <v>71</v>
      </c>
      <c r="B23" s="71" t="s">
        <v>11</v>
      </c>
      <c r="C23" s="72" t="s">
        <v>15</v>
      </c>
      <c r="D23" s="73" t="s">
        <v>6</v>
      </c>
      <c r="E23" s="73">
        <v>74</v>
      </c>
      <c r="F23" s="73">
        <v>45</v>
      </c>
      <c r="G23" s="74">
        <v>3330</v>
      </c>
    </row>
    <row r="24" spans="1:7">
      <c r="A24" s="70" t="s">
        <v>73</v>
      </c>
      <c r="B24" s="71" t="s">
        <v>14</v>
      </c>
      <c r="C24" s="72" t="s">
        <v>21</v>
      </c>
      <c r="D24" s="73" t="s">
        <v>20</v>
      </c>
      <c r="E24" s="73">
        <v>76</v>
      </c>
      <c r="F24" s="73">
        <v>65</v>
      </c>
      <c r="G24" s="74">
        <v>4940</v>
      </c>
    </row>
    <row r="25" spans="1:7">
      <c r="A25" s="70" t="s">
        <v>75</v>
      </c>
      <c r="B25" s="71" t="s">
        <v>17</v>
      </c>
      <c r="C25" s="72" t="s">
        <v>12</v>
      </c>
      <c r="D25" s="73" t="s">
        <v>6</v>
      </c>
      <c r="E25" s="73">
        <v>86</v>
      </c>
      <c r="F25" s="73">
        <v>88</v>
      </c>
      <c r="G25" s="74">
        <v>7568</v>
      </c>
    </row>
    <row r="26" spans="1:7">
      <c r="A26" s="70" t="s">
        <v>77</v>
      </c>
      <c r="B26" s="71" t="s">
        <v>19</v>
      </c>
      <c r="C26" s="72" t="s">
        <v>15</v>
      </c>
      <c r="D26" s="73" t="s">
        <v>8</v>
      </c>
      <c r="E26" s="73">
        <v>66</v>
      </c>
      <c r="F26" s="73">
        <v>45</v>
      </c>
      <c r="G26" s="74">
        <v>2970</v>
      </c>
    </row>
    <row r="27" spans="1:7">
      <c r="A27" s="70" t="s">
        <v>79</v>
      </c>
      <c r="B27" s="71" t="s">
        <v>4</v>
      </c>
      <c r="C27" s="72" t="s">
        <v>15</v>
      </c>
      <c r="D27" s="73" t="s">
        <v>10</v>
      </c>
      <c r="E27" s="73">
        <v>48</v>
      </c>
      <c r="F27" s="73">
        <v>65</v>
      </c>
      <c r="G27" s="74">
        <v>3120</v>
      </c>
    </row>
    <row r="28" spans="1:7">
      <c r="A28" s="70" t="s">
        <v>81</v>
      </c>
      <c r="B28" s="71" t="s">
        <v>7</v>
      </c>
      <c r="C28" s="72" t="s">
        <v>15</v>
      </c>
      <c r="D28" s="73" t="s">
        <v>13</v>
      </c>
      <c r="E28" s="73">
        <v>87</v>
      </c>
      <c r="F28" s="73">
        <v>88</v>
      </c>
      <c r="G28" s="74">
        <v>7656</v>
      </c>
    </row>
    <row r="29" spans="1:7">
      <c r="A29" s="70" t="s">
        <v>83</v>
      </c>
      <c r="B29" s="71" t="s">
        <v>4</v>
      </c>
      <c r="C29" s="72" t="s">
        <v>12</v>
      </c>
      <c r="D29" s="73" t="s">
        <v>20</v>
      </c>
      <c r="E29" s="73">
        <v>65</v>
      </c>
      <c r="F29" s="73">
        <v>75</v>
      </c>
      <c r="G29" s="74">
        <v>4875</v>
      </c>
    </row>
    <row r="30" spans="1:7">
      <c r="A30" s="70" t="s">
        <v>85</v>
      </c>
      <c r="B30" s="71" t="s">
        <v>7</v>
      </c>
      <c r="C30" s="72" t="s">
        <v>15</v>
      </c>
      <c r="D30" s="73" t="s">
        <v>6</v>
      </c>
      <c r="E30" s="73">
        <v>74</v>
      </c>
      <c r="F30" s="73">
        <v>46</v>
      </c>
      <c r="G30" s="74">
        <v>3404</v>
      </c>
    </row>
    <row r="31" spans="1:7">
      <c r="A31" s="76"/>
      <c r="B31" s="77"/>
      <c r="C31" s="78"/>
      <c r="D31" s="79"/>
      <c r="E31" s="79"/>
      <c r="F31" s="79"/>
      <c r="G31" s="80"/>
    </row>
    <row r="32" spans="1:7">
      <c r="A32" s="76"/>
      <c r="B32" s="77"/>
      <c r="C32" s="78"/>
      <c r="D32" s="79"/>
      <c r="E32" s="79"/>
      <c r="F32" s="79"/>
      <c r="G32" s="80"/>
    </row>
    <row r="33" spans="1:7">
      <c r="A33" s="76"/>
      <c r="B33" s="77"/>
      <c r="C33" s="78"/>
      <c r="D33" s="79"/>
      <c r="E33" s="79"/>
      <c r="F33" s="79"/>
      <c r="G33" s="80"/>
    </row>
    <row r="34" spans="1:7">
      <c r="A34" s="76"/>
      <c r="B34" s="77"/>
      <c r="C34" s="78"/>
      <c r="D34" s="79"/>
      <c r="E34" s="79"/>
      <c r="F34" s="79"/>
      <c r="G34" s="80"/>
    </row>
    <row r="35" spans="1:7">
      <c r="A35" s="76"/>
      <c r="B35" s="77"/>
      <c r="C35" s="78"/>
      <c r="D35" s="79"/>
      <c r="E35" s="79"/>
      <c r="F35" s="79"/>
      <c r="G35" s="80"/>
    </row>
    <row r="36" spans="1:7">
      <c r="A36" s="76"/>
      <c r="B36" s="77"/>
      <c r="C36" s="78"/>
      <c r="D36" s="79"/>
      <c r="E36" s="79"/>
      <c r="F36" s="79"/>
      <c r="G36" s="80"/>
    </row>
    <row r="37" spans="1:7">
      <c r="A37" s="76"/>
      <c r="B37" s="77"/>
      <c r="C37" s="78"/>
      <c r="D37" s="79"/>
      <c r="E37" s="79"/>
      <c r="F37" s="79"/>
      <c r="G37" s="80"/>
    </row>
    <row r="38" spans="1:7">
      <c r="A38" s="76"/>
      <c r="B38" s="77"/>
      <c r="C38" s="78"/>
      <c r="D38" s="79"/>
      <c r="E38" s="79"/>
      <c r="F38" s="79"/>
      <c r="G38" s="80"/>
    </row>
    <row r="39" spans="1:7">
      <c r="A39" s="76"/>
      <c r="B39" s="77"/>
      <c r="C39" s="78"/>
      <c r="D39" s="79"/>
      <c r="E39" s="79"/>
      <c r="F39" s="79"/>
      <c r="G39" s="80"/>
    </row>
    <row r="40" spans="1:7">
      <c r="A40" s="76"/>
      <c r="B40" s="77"/>
      <c r="C40" s="78"/>
      <c r="D40" s="79"/>
      <c r="E40" s="79"/>
      <c r="F40" s="79"/>
      <c r="G40" s="80"/>
    </row>
    <row r="41" spans="1:7">
      <c r="A41" s="76"/>
      <c r="B41" s="77"/>
      <c r="C41" s="78"/>
      <c r="D41" s="79"/>
      <c r="E41" s="79"/>
      <c r="F41" s="79"/>
      <c r="G41" s="80"/>
    </row>
    <row r="42" spans="1:7">
      <c r="A42" s="76"/>
      <c r="B42" s="77"/>
      <c r="C42" s="78"/>
      <c r="D42" s="79"/>
      <c r="E42" s="79"/>
      <c r="F42" s="79"/>
      <c r="G42" s="80"/>
    </row>
    <row r="43" spans="1:7">
      <c r="A43" s="76"/>
      <c r="B43" s="77"/>
      <c r="C43" s="78"/>
      <c r="D43" s="79"/>
      <c r="E43" s="79"/>
      <c r="F43" s="79"/>
      <c r="G43" s="80"/>
    </row>
    <row r="44" spans="1:7">
      <c r="A44" s="76"/>
      <c r="B44" s="77"/>
      <c r="C44" s="78"/>
      <c r="D44" s="79"/>
      <c r="E44" s="79"/>
      <c r="F44" s="79"/>
      <c r="G44" s="80"/>
    </row>
    <row r="45" spans="1:7">
      <c r="A45" s="76"/>
      <c r="B45" s="77"/>
      <c r="C45" s="78"/>
      <c r="D45" s="79"/>
      <c r="E45" s="79"/>
      <c r="F45" s="79"/>
      <c r="G45" s="80"/>
    </row>
    <row r="46" spans="1:7">
      <c r="A46" s="76"/>
      <c r="B46" s="77"/>
      <c r="C46" s="78"/>
      <c r="D46" s="79"/>
      <c r="E46" s="79"/>
      <c r="F46" s="79"/>
      <c r="G46" s="80"/>
    </row>
    <row r="47" spans="1:7">
      <c r="A47" s="76"/>
      <c r="B47" s="77"/>
      <c r="C47" s="78"/>
      <c r="D47" s="79"/>
      <c r="E47" s="79"/>
      <c r="F47" s="79"/>
      <c r="G47" s="80"/>
    </row>
    <row r="48" spans="1:7">
      <c r="A48" s="76"/>
      <c r="B48" s="77"/>
      <c r="C48" s="78"/>
      <c r="D48" s="79"/>
      <c r="E48" s="79"/>
      <c r="F48" s="79"/>
      <c r="G48" s="80"/>
    </row>
    <row r="49" spans="1:7">
      <c r="A49" s="76"/>
      <c r="B49" s="77"/>
      <c r="C49" s="78"/>
      <c r="D49" s="79"/>
      <c r="E49" s="79"/>
      <c r="F49" s="79"/>
      <c r="G49" s="80"/>
    </row>
    <row r="50" spans="1:7">
      <c r="A50" s="76"/>
      <c r="B50" s="77"/>
      <c r="C50" s="78"/>
      <c r="D50" s="79"/>
      <c r="E50" s="79"/>
      <c r="F50" s="79"/>
      <c r="G50" s="80"/>
    </row>
    <row r="51" spans="1:7">
      <c r="A51" s="76"/>
      <c r="B51" s="77"/>
      <c r="C51" s="78"/>
      <c r="D51" s="79"/>
      <c r="E51" s="79"/>
      <c r="F51" s="79"/>
      <c r="G51" s="80"/>
    </row>
    <row r="52" spans="1:7">
      <c r="A52" s="76"/>
      <c r="B52" s="77"/>
      <c r="C52" s="78"/>
      <c r="D52" s="79"/>
      <c r="E52" s="79"/>
      <c r="F52" s="79"/>
      <c r="G52" s="80"/>
    </row>
    <row r="53" spans="1:7">
      <c r="A53" s="76"/>
      <c r="B53" s="77"/>
      <c r="C53" s="78"/>
      <c r="D53" s="79"/>
      <c r="E53" s="79"/>
      <c r="F53" s="79"/>
      <c r="G53" s="80"/>
    </row>
    <row r="54" spans="1:7">
      <c r="A54" s="76"/>
      <c r="B54" s="77"/>
      <c r="C54" s="78"/>
      <c r="D54" s="79"/>
      <c r="E54" s="79"/>
      <c r="F54" s="79"/>
      <c r="G54" s="80"/>
    </row>
    <row r="55" spans="1:7">
      <c r="A55" s="76"/>
      <c r="B55" s="77"/>
      <c r="C55" s="78"/>
      <c r="D55" s="79"/>
      <c r="E55" s="79"/>
      <c r="F55" s="79"/>
      <c r="G55" s="80"/>
    </row>
    <row r="56" spans="1:7">
      <c r="A56" s="76"/>
      <c r="B56" s="77"/>
      <c r="C56" s="78"/>
      <c r="D56" s="79"/>
      <c r="E56" s="79"/>
      <c r="F56" s="79"/>
      <c r="G56" s="80"/>
    </row>
    <row r="57" spans="1:7">
      <c r="A57" s="76"/>
      <c r="B57" s="77"/>
      <c r="C57" s="78"/>
      <c r="D57" s="79"/>
      <c r="E57" s="79"/>
      <c r="F57" s="79"/>
      <c r="G57" s="80"/>
    </row>
    <row r="58" spans="1:7">
      <c r="A58" s="76"/>
      <c r="B58" s="77"/>
      <c r="C58" s="78"/>
      <c r="D58" s="79"/>
      <c r="E58" s="79"/>
      <c r="F58" s="79"/>
      <c r="G58" s="80"/>
    </row>
    <row r="59" spans="1:7">
      <c r="A59" s="76"/>
      <c r="B59" s="77"/>
      <c r="C59" s="78"/>
      <c r="D59" s="79"/>
      <c r="E59" s="79"/>
      <c r="F59" s="79"/>
      <c r="G59" s="80"/>
    </row>
    <row r="60" spans="1:7">
      <c r="A60" s="81"/>
      <c r="B60" s="77"/>
      <c r="C60" s="77"/>
      <c r="D60" s="79"/>
      <c r="E60" s="79"/>
      <c r="F60" s="79"/>
      <c r="G60" s="80"/>
    </row>
    <row r="61" spans="1:7">
      <c r="A61" s="81"/>
      <c r="B61" s="77"/>
      <c r="C61" s="77"/>
      <c r="D61" s="79"/>
      <c r="E61" s="79"/>
      <c r="F61" s="79"/>
      <c r="G61" s="80"/>
    </row>
    <row r="62" spans="1:7">
      <c r="A62" s="81"/>
      <c r="B62" s="77"/>
      <c r="C62" s="77"/>
      <c r="D62" s="79"/>
      <c r="E62" s="79"/>
      <c r="F62" s="79"/>
      <c r="G62" s="80"/>
    </row>
    <row r="63" spans="1:7">
      <c r="A63" s="81"/>
      <c r="B63" s="77"/>
      <c r="C63" s="77"/>
      <c r="D63" s="79"/>
      <c r="E63" s="79"/>
      <c r="F63" s="79"/>
      <c r="G63" s="80"/>
    </row>
    <row r="64" spans="1:7">
      <c r="A64" s="81"/>
      <c r="B64" s="77"/>
      <c r="C64" s="77"/>
      <c r="D64" s="79"/>
      <c r="E64" s="79"/>
      <c r="F64" s="79"/>
      <c r="G64" s="80"/>
    </row>
    <row r="65" spans="1:7">
      <c r="A65" s="81"/>
      <c r="B65" s="77"/>
      <c r="C65" s="78"/>
      <c r="D65" s="79"/>
      <c r="E65" s="79"/>
      <c r="F65" s="79"/>
      <c r="G65" s="80"/>
    </row>
    <row r="66" spans="1:7">
      <c r="A66" s="81"/>
      <c r="B66" s="77"/>
      <c r="C66" s="78"/>
      <c r="D66" s="79"/>
      <c r="E66" s="79"/>
      <c r="F66" s="79"/>
      <c r="G66" s="80"/>
    </row>
    <row r="67" spans="1:7">
      <c r="A67" s="81"/>
      <c r="B67" s="77"/>
      <c r="C67" s="78"/>
      <c r="D67" s="79"/>
      <c r="E67" s="79"/>
      <c r="F67" s="79"/>
      <c r="G67" s="80"/>
    </row>
    <row r="68" spans="1:7">
      <c r="A68" s="81"/>
      <c r="B68" s="77"/>
      <c r="C68" s="78"/>
      <c r="D68" s="79"/>
      <c r="E68" s="79"/>
      <c r="F68" s="79"/>
      <c r="G68" s="80"/>
    </row>
    <row r="69" spans="1:7">
      <c r="A69" s="81"/>
      <c r="B69" s="77"/>
      <c r="C69" s="78"/>
      <c r="D69" s="79"/>
      <c r="E69" s="79"/>
      <c r="F69" s="79"/>
      <c r="G69" s="80"/>
    </row>
    <row r="70" spans="1:7">
      <c r="A70" s="81"/>
      <c r="B70" s="77"/>
      <c r="C70" s="78"/>
      <c r="D70" s="79"/>
      <c r="E70" s="79"/>
      <c r="F70" s="79"/>
      <c r="G70" s="80"/>
    </row>
    <row r="71" spans="1:7">
      <c r="A71" s="81"/>
      <c r="B71" s="77"/>
      <c r="C71" s="78"/>
      <c r="D71" s="79"/>
      <c r="E71" s="79"/>
      <c r="F71" s="79"/>
      <c r="G71" s="80"/>
    </row>
    <row r="72" spans="1:7">
      <c r="A72" s="81"/>
      <c r="B72" s="77"/>
      <c r="C72" s="78"/>
      <c r="D72" s="79"/>
      <c r="E72" s="79"/>
      <c r="F72" s="79"/>
      <c r="G72" s="80"/>
    </row>
    <row r="73" spans="1:7">
      <c r="A73" s="81"/>
      <c r="B73" s="77"/>
      <c r="C73" s="78"/>
      <c r="D73" s="79"/>
      <c r="E73" s="79"/>
      <c r="F73" s="79"/>
      <c r="G73" s="80"/>
    </row>
    <row r="74" spans="1:7">
      <c r="A74" s="81"/>
      <c r="B74" s="77"/>
      <c r="C74" s="78"/>
      <c r="D74" s="79"/>
      <c r="E74" s="79"/>
      <c r="F74" s="79"/>
      <c r="G74" s="80"/>
    </row>
    <row r="75" spans="1:7">
      <c r="A75" s="81"/>
      <c r="B75" s="77"/>
      <c r="C75" s="78"/>
      <c r="D75" s="79"/>
      <c r="E75" s="79"/>
      <c r="F75" s="79"/>
      <c r="G75" s="80"/>
    </row>
    <row r="76" spans="1:7">
      <c r="A76" s="81"/>
      <c r="B76" s="77"/>
      <c r="C76" s="78"/>
      <c r="D76" s="79"/>
      <c r="E76" s="79"/>
      <c r="F76" s="79"/>
      <c r="G76" s="80"/>
    </row>
    <row r="77" spans="1:7">
      <c r="A77" s="81"/>
      <c r="B77" s="77"/>
      <c r="C77" s="78"/>
      <c r="D77" s="79"/>
      <c r="E77" s="79"/>
      <c r="F77" s="79"/>
      <c r="G77" s="80"/>
    </row>
    <row r="78" spans="1:7">
      <c r="A78" s="81"/>
      <c r="B78" s="77"/>
      <c r="C78" s="78"/>
      <c r="D78" s="79"/>
      <c r="E78" s="79"/>
      <c r="F78" s="79"/>
      <c r="G78" s="80"/>
    </row>
    <row r="79" spans="1:7">
      <c r="A79" s="81"/>
      <c r="B79" s="77"/>
      <c r="C79" s="78"/>
      <c r="D79" s="79"/>
      <c r="E79" s="79"/>
      <c r="F79" s="79"/>
      <c r="G79" s="80"/>
    </row>
    <row r="80" spans="1:7">
      <c r="A80" s="81"/>
      <c r="B80" s="77"/>
      <c r="C80" s="78"/>
      <c r="D80" s="79"/>
      <c r="E80" s="79"/>
      <c r="F80" s="79"/>
      <c r="G80" s="80"/>
    </row>
    <row r="81" spans="1:7">
      <c r="A81" s="81"/>
      <c r="B81" s="77"/>
      <c r="C81" s="78"/>
      <c r="D81" s="79"/>
      <c r="E81" s="79"/>
      <c r="F81" s="79"/>
      <c r="G81" s="80"/>
    </row>
    <row r="82" spans="1:7">
      <c r="A82" s="81"/>
      <c r="B82" s="77"/>
      <c r="C82" s="78"/>
      <c r="D82" s="79"/>
      <c r="E82" s="79"/>
      <c r="F82" s="79"/>
      <c r="G82" s="80"/>
    </row>
    <row r="83" spans="1:7">
      <c r="A83" s="81"/>
      <c r="B83" s="77"/>
      <c r="C83" s="78"/>
      <c r="D83" s="79"/>
      <c r="E83" s="79"/>
      <c r="F83" s="79"/>
      <c r="G83" s="80"/>
    </row>
    <row r="84" spans="1:7">
      <c r="A84" s="81"/>
      <c r="B84" s="77"/>
      <c r="C84" s="78"/>
      <c r="D84" s="79"/>
      <c r="E84" s="79"/>
      <c r="F84" s="79"/>
      <c r="G84" s="80"/>
    </row>
    <row r="85" spans="1:7">
      <c r="A85" s="81"/>
      <c r="B85" s="77"/>
      <c r="C85" s="78"/>
      <c r="D85" s="79"/>
      <c r="E85" s="79"/>
      <c r="F85" s="79"/>
      <c r="G85" s="80"/>
    </row>
    <row r="86" spans="1:7">
      <c r="A86" s="81"/>
      <c r="B86" s="77"/>
      <c r="C86" s="78"/>
      <c r="D86" s="79"/>
      <c r="E86" s="79"/>
      <c r="F86" s="79"/>
      <c r="G86" s="80"/>
    </row>
    <row r="87" spans="1:7">
      <c r="A87" s="81"/>
      <c r="B87" s="77"/>
      <c r="C87" s="78"/>
      <c r="D87" s="79"/>
      <c r="E87" s="79"/>
      <c r="F87" s="79"/>
      <c r="G87" s="80"/>
    </row>
    <row r="88" spans="1:7">
      <c r="A88" s="81"/>
      <c r="B88" s="77"/>
      <c r="C88" s="78"/>
      <c r="D88" s="79"/>
      <c r="E88" s="79"/>
      <c r="F88" s="79"/>
      <c r="G88" s="80"/>
    </row>
    <row r="89" spans="1:7">
      <c r="A89" s="81"/>
      <c r="B89" s="77"/>
      <c r="C89" s="78"/>
      <c r="D89" s="79"/>
      <c r="E89" s="79"/>
      <c r="F89" s="79"/>
      <c r="G89" s="80"/>
    </row>
    <row r="90" spans="1:7">
      <c r="A90" s="81"/>
      <c r="B90" s="77"/>
      <c r="C90" s="78"/>
      <c r="D90" s="79"/>
      <c r="E90" s="79"/>
      <c r="F90" s="79"/>
      <c r="G90" s="80"/>
    </row>
    <row r="91" spans="1:7">
      <c r="A91" s="81"/>
      <c r="B91" s="77"/>
      <c r="C91" s="78"/>
      <c r="D91" s="79"/>
      <c r="E91" s="79"/>
      <c r="F91" s="79"/>
      <c r="G91" s="80"/>
    </row>
    <row r="92" spans="1:7">
      <c r="A92" s="81"/>
      <c r="B92" s="77"/>
      <c r="C92" s="78"/>
      <c r="D92" s="79"/>
      <c r="E92" s="79"/>
      <c r="F92" s="79"/>
      <c r="G92" s="80"/>
    </row>
    <row r="93" spans="1:7">
      <c r="A93" s="81"/>
      <c r="B93" s="77"/>
      <c r="C93" s="78"/>
      <c r="D93" s="79"/>
      <c r="E93" s="79"/>
      <c r="F93" s="79"/>
      <c r="G93" s="80"/>
    </row>
    <row r="94" spans="1:7">
      <c r="A94" s="81"/>
      <c r="B94" s="77"/>
      <c r="C94" s="78"/>
      <c r="D94" s="79"/>
      <c r="E94" s="79"/>
      <c r="F94" s="79"/>
      <c r="G94" s="80"/>
    </row>
    <row r="95" spans="1:7">
      <c r="A95" s="81"/>
      <c r="B95" s="77"/>
      <c r="C95" s="78"/>
      <c r="D95" s="79"/>
      <c r="E95" s="79"/>
      <c r="F95" s="79"/>
      <c r="G95" s="80"/>
    </row>
    <row r="96" spans="1:7">
      <c r="A96" s="81"/>
      <c r="B96" s="77"/>
      <c r="C96" s="78"/>
      <c r="D96" s="79"/>
      <c r="E96" s="79"/>
      <c r="F96" s="79"/>
      <c r="G96" s="80"/>
    </row>
    <row r="97" spans="1:7">
      <c r="A97" s="81"/>
      <c r="B97" s="77"/>
      <c r="C97" s="78"/>
      <c r="D97" s="79"/>
      <c r="E97" s="79"/>
      <c r="F97" s="79"/>
      <c r="G97" s="80"/>
    </row>
    <row r="98" spans="1:7">
      <c r="A98" s="82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29"/>
  <sheetViews>
    <sheetView topLeftCell="A3" workbookViewId="0">
      <selection activeCell="B4" sqref="B4"/>
    </sheetView>
  </sheetViews>
  <sheetFormatPr defaultColWidth="9" defaultRowHeight="14.4"/>
  <cols>
    <col min="1" max="1" width="14.287037037037" customWidth="1"/>
    <col min="2" max="2" width="22" customWidth="1"/>
    <col min="3" max="3" width="21.5740740740741" customWidth="1"/>
    <col min="4" max="4" width="15.287037037037" customWidth="1"/>
    <col min="5" max="5" width="24.287037037037" customWidth="1"/>
    <col min="6" max="6" width="9.71296296296296" customWidth="1"/>
    <col min="7" max="7" width="12.1388888888889" customWidth="1"/>
    <col min="9" max="9" width="13.712962962963" customWidth="1"/>
    <col min="10" max="10" width="15.712962962963" customWidth="1"/>
    <col min="12" max="12" width="17.4259259259259" customWidth="1"/>
  </cols>
  <sheetData>
    <row r="1" ht="15" customHeight="1" spans="1:12">
      <c r="A1" s="54" t="s">
        <v>223</v>
      </c>
      <c r="B1" s="54"/>
      <c r="C1" s="54"/>
      <c r="D1" s="54"/>
      <c r="E1" s="54"/>
      <c r="F1" s="54"/>
      <c r="G1" s="54"/>
      <c r="H1" s="54"/>
      <c r="I1" s="54"/>
      <c r="J1" s="54"/>
    </row>
    <row r="2" ht="15" customHeight="1" spans="1:12">
      <c r="A2" s="54"/>
      <c r="B2" s="54"/>
      <c r="C2" s="54"/>
      <c r="D2" s="54"/>
      <c r="E2" s="54"/>
      <c r="F2" s="54"/>
      <c r="G2" s="54"/>
      <c r="H2" s="54"/>
      <c r="I2" s="54"/>
      <c r="J2" s="54"/>
    </row>
    <row r="3" ht="15" customHeight="1" spans="1:12">
      <c r="A3" s="55"/>
      <c r="B3" s="55"/>
      <c r="C3" s="55"/>
      <c r="D3" s="55"/>
      <c r="E3" s="55"/>
      <c r="F3" s="55"/>
      <c r="G3" s="55"/>
      <c r="H3" s="55"/>
      <c r="I3" s="55"/>
      <c r="J3" s="55"/>
    </row>
    <row r="4" ht="28.8" spans="1:12">
      <c r="A4" s="56" t="s">
        <v>224</v>
      </c>
      <c r="B4" s="56" t="s">
        <v>25</v>
      </c>
      <c r="C4" s="56" t="s">
        <v>225</v>
      </c>
      <c r="D4" s="56" t="s">
        <v>226</v>
      </c>
      <c r="E4" s="56" t="s">
        <v>227</v>
      </c>
      <c r="F4" s="56" t="s">
        <v>228</v>
      </c>
      <c r="G4" s="56" t="s">
        <v>229</v>
      </c>
      <c r="H4" s="56" t="s">
        <v>230</v>
      </c>
      <c r="I4" s="57" t="s">
        <v>231</v>
      </c>
      <c r="J4" s="58" t="s">
        <v>232</v>
      </c>
    </row>
    <row r="5" spans="1:12">
      <c r="A5" s="59" t="s">
        <v>233</v>
      </c>
      <c r="B5" s="59" t="s">
        <v>234</v>
      </c>
      <c r="C5" s="59" t="s">
        <v>235</v>
      </c>
      <c r="D5" s="59" t="s">
        <v>236</v>
      </c>
      <c r="E5" s="59" t="s">
        <v>237</v>
      </c>
      <c r="F5" s="59" t="s">
        <v>238</v>
      </c>
      <c r="G5" s="59" t="s">
        <v>239</v>
      </c>
      <c r="H5" s="59" t="s">
        <v>240</v>
      </c>
      <c r="I5" s="60">
        <v>46088</v>
      </c>
      <c r="J5" s="61">
        <v>40499</v>
      </c>
    </row>
    <row r="6" spans="1:12">
      <c r="A6" s="59" t="s">
        <v>241</v>
      </c>
      <c r="B6" s="59" t="s">
        <v>48</v>
      </c>
      <c r="C6" s="59" t="s">
        <v>242</v>
      </c>
      <c r="D6" s="59" t="s">
        <v>243</v>
      </c>
      <c r="E6" s="59" t="s">
        <v>237</v>
      </c>
      <c r="F6" s="59" t="s">
        <v>238</v>
      </c>
      <c r="G6" s="59" t="s">
        <v>244</v>
      </c>
      <c r="H6" s="59">
        <v>49</v>
      </c>
      <c r="I6" s="60">
        <v>44962</v>
      </c>
      <c r="J6" s="61">
        <v>45703</v>
      </c>
    </row>
    <row r="7" spans="1:12">
      <c r="A7" s="59" t="s">
        <v>245</v>
      </c>
      <c r="B7" s="59" t="s">
        <v>30</v>
      </c>
      <c r="C7" s="59" t="s">
        <v>246</v>
      </c>
      <c r="D7" s="59" t="s">
        <v>3</v>
      </c>
      <c r="E7" s="59" t="s">
        <v>247</v>
      </c>
      <c r="F7" s="59" t="s">
        <v>238</v>
      </c>
      <c r="G7" s="59" t="s">
        <v>239</v>
      </c>
      <c r="H7" s="59">
        <v>58</v>
      </c>
      <c r="I7" s="60">
        <v>45327</v>
      </c>
      <c r="J7" s="61">
        <v>54811</v>
      </c>
    </row>
    <row r="8" spans="1:12">
      <c r="A8" s="59" t="s">
        <v>248</v>
      </c>
      <c r="B8" s="59" t="s">
        <v>62</v>
      </c>
      <c r="C8" s="59" t="s">
        <v>246</v>
      </c>
      <c r="D8" s="59" t="s">
        <v>3</v>
      </c>
      <c r="E8" s="59" t="s">
        <v>249</v>
      </c>
      <c r="F8" s="59" t="s">
        <v>250</v>
      </c>
      <c r="G8" s="59" t="s">
        <v>239</v>
      </c>
      <c r="H8" s="59">
        <v>61</v>
      </c>
      <c r="I8" s="60">
        <v>45693</v>
      </c>
      <c r="J8" s="61">
        <v>64208</v>
      </c>
    </row>
    <row r="9" spans="1:12">
      <c r="A9" s="59" t="s">
        <v>251</v>
      </c>
      <c r="B9" s="59" t="s">
        <v>58</v>
      </c>
      <c r="C9" s="59" t="s">
        <v>252</v>
      </c>
      <c r="D9" s="59" t="s">
        <v>243</v>
      </c>
      <c r="E9" s="59" t="s">
        <v>247</v>
      </c>
      <c r="F9" s="59" t="s">
        <v>250</v>
      </c>
      <c r="G9" s="59" t="s">
        <v>239</v>
      </c>
      <c r="H9" s="59">
        <v>62</v>
      </c>
      <c r="I9" s="60">
        <v>46058</v>
      </c>
      <c r="J9" s="61">
        <v>66227</v>
      </c>
    </row>
    <row r="10" spans="1:12">
      <c r="A10" s="59" t="s">
        <v>253</v>
      </c>
      <c r="B10" s="59" t="s">
        <v>38</v>
      </c>
      <c r="C10" s="59" t="s">
        <v>254</v>
      </c>
      <c r="D10" s="59" t="s">
        <v>243</v>
      </c>
      <c r="E10" s="59" t="s">
        <v>237</v>
      </c>
      <c r="F10" s="59" t="s">
        <v>238</v>
      </c>
      <c r="G10" s="59" t="s">
        <v>239</v>
      </c>
      <c r="H10" s="59">
        <v>62</v>
      </c>
      <c r="I10" s="60">
        <v>46423</v>
      </c>
      <c r="J10" s="61">
        <v>69674</v>
      </c>
    </row>
    <row r="11" spans="1:12">
      <c r="A11" s="59" t="s">
        <v>255</v>
      </c>
      <c r="B11" s="59" t="s">
        <v>42</v>
      </c>
      <c r="C11" s="59" t="s">
        <v>256</v>
      </c>
      <c r="D11" s="59" t="s">
        <v>257</v>
      </c>
      <c r="E11" s="59" t="s">
        <v>247</v>
      </c>
      <c r="F11" s="59" t="s">
        <v>238</v>
      </c>
      <c r="G11" s="59" t="s">
        <v>239</v>
      </c>
      <c r="H11" s="59">
        <v>62</v>
      </c>
      <c r="I11" s="60">
        <v>46788</v>
      </c>
      <c r="J11" s="61">
        <v>70000</v>
      </c>
    </row>
    <row r="12" spans="1:12">
      <c r="A12" s="59" t="s">
        <v>248</v>
      </c>
      <c r="B12" s="59" t="s">
        <v>50</v>
      </c>
      <c r="C12" s="59" t="s">
        <v>258</v>
      </c>
      <c r="D12" s="59" t="s">
        <v>243</v>
      </c>
      <c r="E12" s="59" t="s">
        <v>247</v>
      </c>
      <c r="F12" s="59" t="s">
        <v>250</v>
      </c>
      <c r="G12" s="59" t="s">
        <v>239</v>
      </c>
      <c r="H12" s="59">
        <v>67</v>
      </c>
      <c r="I12" s="60">
        <v>46096</v>
      </c>
      <c r="J12" s="62">
        <v>70000</v>
      </c>
      <c r="L12" s="63"/>
    </row>
    <row r="13" spans="1:12">
      <c r="A13" s="59" t="s">
        <v>259</v>
      </c>
      <c r="B13" s="59" t="s">
        <v>50</v>
      </c>
      <c r="C13" s="59" t="s">
        <v>260</v>
      </c>
      <c r="D13" s="59" t="s">
        <v>257</v>
      </c>
      <c r="E13" s="59" t="s">
        <v>249</v>
      </c>
      <c r="F13" s="59" t="s">
        <v>250</v>
      </c>
      <c r="G13" s="59" t="s">
        <v>239</v>
      </c>
      <c r="H13" s="59">
        <v>63</v>
      </c>
      <c r="I13" s="60">
        <v>47154</v>
      </c>
      <c r="J13" s="61">
        <v>83323</v>
      </c>
    </row>
    <row r="14" spans="1:12">
      <c r="A14" s="59" t="s">
        <v>261</v>
      </c>
      <c r="B14" s="59" t="s">
        <v>70</v>
      </c>
      <c r="C14" s="59" t="s">
        <v>262</v>
      </c>
      <c r="D14" s="59" t="s">
        <v>243</v>
      </c>
      <c r="E14" s="59" t="s">
        <v>263</v>
      </c>
      <c r="F14" s="59" t="s">
        <v>250</v>
      </c>
      <c r="G14" s="59" t="s">
        <v>264</v>
      </c>
      <c r="H14" s="59">
        <v>43</v>
      </c>
      <c r="I14" s="60">
        <v>47519</v>
      </c>
      <c r="J14" s="61">
        <v>83576</v>
      </c>
    </row>
    <row r="15" spans="1:12">
      <c r="A15" s="59" t="s">
        <v>265</v>
      </c>
      <c r="B15" s="59" t="s">
        <v>32</v>
      </c>
      <c r="C15" s="59" t="s">
        <v>254</v>
      </c>
      <c r="D15" s="59" t="s">
        <v>243</v>
      </c>
      <c r="E15" s="59" t="s">
        <v>263</v>
      </c>
      <c r="F15" s="59" t="s">
        <v>238</v>
      </c>
      <c r="G15" s="59" t="s">
        <v>239</v>
      </c>
      <c r="H15" s="59">
        <v>34</v>
      </c>
      <c r="I15" s="60">
        <v>47884</v>
      </c>
      <c r="J15" s="61">
        <v>89744</v>
      </c>
    </row>
    <row r="16" spans="1:12">
      <c r="A16" s="59" t="s">
        <v>266</v>
      </c>
      <c r="B16" s="59" t="s">
        <v>40</v>
      </c>
      <c r="C16" s="59" t="s">
        <v>260</v>
      </c>
      <c r="D16" s="59" t="s">
        <v>267</v>
      </c>
      <c r="E16" s="59" t="s">
        <v>249</v>
      </c>
      <c r="F16" s="59" t="s">
        <v>250</v>
      </c>
      <c r="G16" s="59" t="s">
        <v>239</v>
      </c>
      <c r="H16" s="59">
        <v>58</v>
      </c>
      <c r="I16" s="60">
        <v>48249</v>
      </c>
      <c r="J16" s="62">
        <v>92368</v>
      </c>
    </row>
    <row r="17" spans="1:10">
      <c r="A17" s="59" t="s">
        <v>268</v>
      </c>
      <c r="B17" s="59" t="s">
        <v>64</v>
      </c>
      <c r="C17" s="59" t="s">
        <v>269</v>
      </c>
      <c r="D17" s="59" t="s">
        <v>243</v>
      </c>
      <c r="E17" s="59" t="s">
        <v>249</v>
      </c>
      <c r="F17" s="59" t="s">
        <v>238</v>
      </c>
      <c r="G17" s="59" t="s">
        <v>239</v>
      </c>
      <c r="H17" s="59">
        <v>29</v>
      </c>
      <c r="I17" s="60">
        <v>37906</v>
      </c>
      <c r="J17" s="61">
        <v>95729</v>
      </c>
    </row>
    <row r="18" spans="1:10">
      <c r="A18" s="59" t="s">
        <v>270</v>
      </c>
      <c r="B18" s="59" t="s">
        <v>44</v>
      </c>
      <c r="C18" s="59" t="s">
        <v>271</v>
      </c>
      <c r="D18" s="59" t="s">
        <v>243</v>
      </c>
      <c r="E18" s="59" t="s">
        <v>237</v>
      </c>
      <c r="F18" s="59" t="s">
        <v>250</v>
      </c>
      <c r="G18" s="59" t="s">
        <v>272</v>
      </c>
      <c r="H18" s="59">
        <v>38</v>
      </c>
      <c r="I18" s="60">
        <v>38272</v>
      </c>
      <c r="J18" s="61">
        <v>97630</v>
      </c>
    </row>
    <row r="19" spans="1:10">
      <c r="A19" s="59" t="s">
        <v>273</v>
      </c>
      <c r="B19" s="59" t="s">
        <v>34</v>
      </c>
      <c r="C19" s="59" t="s">
        <v>252</v>
      </c>
      <c r="D19" s="59" t="s">
        <v>243</v>
      </c>
      <c r="E19" s="59" t="s">
        <v>247</v>
      </c>
      <c r="F19" s="59" t="s">
        <v>250</v>
      </c>
      <c r="G19" s="59" t="s">
        <v>244</v>
      </c>
      <c r="H19" s="59">
        <v>39</v>
      </c>
      <c r="I19" s="60">
        <v>38637</v>
      </c>
      <c r="J19" s="61">
        <v>98062</v>
      </c>
    </row>
    <row r="20" spans="1:10">
      <c r="A20" s="59" t="s">
        <v>274</v>
      </c>
      <c r="B20" s="59" t="s">
        <v>66</v>
      </c>
      <c r="C20" s="59" t="s">
        <v>275</v>
      </c>
      <c r="D20" s="59" t="s">
        <v>267</v>
      </c>
      <c r="E20" s="59" t="s">
        <v>249</v>
      </c>
      <c r="F20" s="59" t="s">
        <v>250</v>
      </c>
      <c r="G20" s="59" t="s">
        <v>244</v>
      </c>
      <c r="H20" s="59">
        <v>63</v>
      </c>
      <c r="I20" s="60">
        <v>39002</v>
      </c>
      <c r="J20" s="61">
        <v>102649</v>
      </c>
    </row>
    <row r="21" spans="1:10">
      <c r="A21" s="59" t="s">
        <v>276</v>
      </c>
      <c r="B21" s="59" t="s">
        <v>46</v>
      </c>
      <c r="C21" s="59" t="s">
        <v>275</v>
      </c>
      <c r="D21" s="59" t="s">
        <v>257</v>
      </c>
      <c r="E21" s="59" t="s">
        <v>249</v>
      </c>
      <c r="F21" s="59" t="s">
        <v>238</v>
      </c>
      <c r="G21" s="59" t="s">
        <v>272</v>
      </c>
      <c r="H21" s="59">
        <v>52</v>
      </c>
      <c r="I21" s="60">
        <v>39367</v>
      </c>
      <c r="J21" s="61">
        <v>105879</v>
      </c>
    </row>
    <row r="22" spans="1:10">
      <c r="A22" s="59" t="s">
        <v>277</v>
      </c>
      <c r="B22" s="59" t="s">
        <v>54</v>
      </c>
      <c r="C22" s="59" t="s">
        <v>275</v>
      </c>
      <c r="D22" s="59" t="s">
        <v>278</v>
      </c>
      <c r="E22" s="59" t="s">
        <v>247</v>
      </c>
      <c r="F22" s="59" t="s">
        <v>238</v>
      </c>
      <c r="G22" s="59" t="s">
        <v>272</v>
      </c>
      <c r="H22" s="59">
        <v>36</v>
      </c>
      <c r="I22" s="60">
        <v>39733</v>
      </c>
      <c r="J22" s="61">
        <v>118912</v>
      </c>
    </row>
    <row r="23" spans="1:10">
      <c r="A23" s="59" t="s">
        <v>279</v>
      </c>
      <c r="B23" s="59" t="s">
        <v>68</v>
      </c>
      <c r="C23" s="59" t="s">
        <v>280</v>
      </c>
      <c r="D23" s="59" t="s">
        <v>267</v>
      </c>
      <c r="E23" s="59" t="s">
        <v>249</v>
      </c>
      <c r="F23" s="59" t="s">
        <v>238</v>
      </c>
      <c r="G23" s="59" t="s">
        <v>239</v>
      </c>
      <c r="H23" s="59">
        <v>45</v>
      </c>
      <c r="I23" s="60">
        <v>40098</v>
      </c>
      <c r="J23" s="61">
        <v>122875</v>
      </c>
    </row>
    <row r="24" spans="1:10">
      <c r="A24" s="59" t="s">
        <v>281</v>
      </c>
      <c r="B24" s="59" t="s">
        <v>56</v>
      </c>
      <c r="C24" s="59" t="s">
        <v>280</v>
      </c>
      <c r="D24" s="59" t="s">
        <v>278</v>
      </c>
      <c r="E24" s="59" t="s">
        <v>247</v>
      </c>
      <c r="F24" s="59" t="s">
        <v>238</v>
      </c>
      <c r="G24" s="59" t="s">
        <v>264</v>
      </c>
      <c r="H24" s="59">
        <v>42</v>
      </c>
      <c r="I24" s="60">
        <v>40463</v>
      </c>
      <c r="J24" s="61">
        <v>131422</v>
      </c>
    </row>
    <row r="25" spans="1:10">
      <c r="A25" s="59" t="s">
        <v>282</v>
      </c>
      <c r="B25" s="59" t="s">
        <v>52</v>
      </c>
      <c r="C25" s="59" t="s">
        <v>258</v>
      </c>
      <c r="D25" s="59" t="s">
        <v>243</v>
      </c>
      <c r="E25" s="59" t="s">
        <v>237</v>
      </c>
      <c r="F25" s="59" t="s">
        <v>238</v>
      </c>
      <c r="G25" s="59" t="s">
        <v>239</v>
      </c>
      <c r="H25" s="59">
        <v>45</v>
      </c>
      <c r="I25" s="60">
        <v>40828</v>
      </c>
      <c r="J25" s="61">
        <v>150558</v>
      </c>
    </row>
    <row r="26" spans="1:10">
      <c r="A26" s="59" t="s">
        <v>283</v>
      </c>
      <c r="B26" s="59" t="s">
        <v>36</v>
      </c>
      <c r="C26" s="59" t="s">
        <v>258</v>
      </c>
      <c r="D26" s="59" t="s">
        <v>236</v>
      </c>
      <c r="E26" s="59" t="s">
        <v>247</v>
      </c>
      <c r="F26" s="59" t="s">
        <v>250</v>
      </c>
      <c r="G26" s="59" t="s">
        <v>244</v>
      </c>
      <c r="H26" s="59">
        <v>42</v>
      </c>
      <c r="I26" s="60">
        <v>41194</v>
      </c>
      <c r="J26" s="61">
        <v>175391</v>
      </c>
    </row>
    <row r="27" spans="1:10">
      <c r="A27" s="64" t="s">
        <v>284</v>
      </c>
      <c r="B27" s="64" t="s">
        <v>60</v>
      </c>
      <c r="C27" s="64" t="s">
        <v>285</v>
      </c>
      <c r="D27" s="64" t="s">
        <v>236</v>
      </c>
      <c r="E27" s="64" t="s">
        <v>249</v>
      </c>
      <c r="F27" s="64" t="s">
        <v>250</v>
      </c>
      <c r="G27" s="64" t="s">
        <v>239</v>
      </c>
      <c r="H27" s="64">
        <v>45</v>
      </c>
      <c r="I27" s="65">
        <v>41559</v>
      </c>
      <c r="J27" s="66">
        <v>254486</v>
      </c>
    </row>
    <row r="28" spans="1:10">
      <c r="J28" s="67"/>
    </row>
    <row r="29" spans="1:10">
      <c r="J29" s="67"/>
    </row>
  </sheetData>
  <sortState ref="J5:J26">
    <sortCondition ref="J5:J26"/>
  </sortState>
  <mergeCells count="1">
    <mergeCell ref="A1:J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F9" sqref="F9"/>
    </sheetView>
  </sheetViews>
  <sheetFormatPr defaultColWidth="9" defaultRowHeight="14.4" outlineLevelCol="3"/>
  <cols>
    <col min="1" max="1" width="25.4259259259259" customWidth="1"/>
    <col min="2" max="2" width="17.1388888888889" customWidth="1"/>
    <col min="3" max="3" width="13.4259259259259" customWidth="1"/>
    <col min="4" max="4" width="19" customWidth="1"/>
  </cols>
  <sheetData>
    <row r="1" ht="21" spans="1:4">
      <c r="A1" s="51" t="s">
        <v>25</v>
      </c>
      <c r="B1" s="51" t="s">
        <v>3</v>
      </c>
      <c r="C1" s="51" t="s">
        <v>286</v>
      </c>
      <c r="D1" s="51" t="s">
        <v>287</v>
      </c>
    </row>
    <row r="2" spans="1:4">
      <c r="A2" s="52" t="s">
        <v>288</v>
      </c>
      <c r="B2" s="53">
        <v>2500</v>
      </c>
      <c r="C2" s="53">
        <v>3000</v>
      </c>
      <c r="D2" s="53">
        <f>B2*2%</f>
        <v>50</v>
      </c>
    </row>
    <row r="3" spans="1:4">
      <c r="A3" s="52" t="s">
        <v>289</v>
      </c>
      <c r="B3" s="53">
        <v>3000</v>
      </c>
      <c r="C3" s="53">
        <v>5000</v>
      </c>
      <c r="D3" s="53">
        <f t="shared" ref="D3:D27" si="0">B3*2%</f>
        <v>60</v>
      </c>
    </row>
    <row r="4" spans="1:4">
      <c r="A4" s="52" t="s">
        <v>290</v>
      </c>
      <c r="B4" s="53">
        <v>3500</v>
      </c>
      <c r="C4" s="53">
        <v>4000</v>
      </c>
      <c r="D4" s="53">
        <f t="shared" si="0"/>
        <v>70</v>
      </c>
    </row>
    <row r="5" spans="1:4">
      <c r="A5" s="52" t="s">
        <v>291</v>
      </c>
      <c r="B5" s="53">
        <v>4500</v>
      </c>
      <c r="C5" s="53">
        <v>6000</v>
      </c>
      <c r="D5" s="53">
        <f t="shared" si="0"/>
        <v>90</v>
      </c>
    </row>
    <row r="6" spans="1:4">
      <c r="A6" s="52" t="s">
        <v>292</v>
      </c>
      <c r="B6" s="53">
        <v>2500</v>
      </c>
      <c r="C6" s="53">
        <v>4000</v>
      </c>
      <c r="D6" s="53">
        <f t="shared" si="0"/>
        <v>50</v>
      </c>
    </row>
    <row r="7" spans="1:4">
      <c r="A7" s="52" t="s">
        <v>38</v>
      </c>
      <c r="B7" s="53">
        <v>3100</v>
      </c>
      <c r="C7" s="53">
        <v>4000</v>
      </c>
      <c r="D7" s="53">
        <f t="shared" si="0"/>
        <v>62</v>
      </c>
    </row>
    <row r="8" spans="1:4">
      <c r="A8" s="52" t="s">
        <v>40</v>
      </c>
      <c r="B8" s="53">
        <v>3300</v>
      </c>
      <c r="C8" s="53">
        <v>4500</v>
      </c>
      <c r="D8" s="53">
        <f t="shared" si="0"/>
        <v>66</v>
      </c>
    </row>
    <row r="9" spans="1:4">
      <c r="A9" s="52" t="s">
        <v>293</v>
      </c>
      <c r="B9" s="53">
        <v>2500</v>
      </c>
      <c r="C9" s="53">
        <v>3000</v>
      </c>
      <c r="D9" s="53">
        <f t="shared" si="0"/>
        <v>50</v>
      </c>
    </row>
    <row r="10" spans="1:4">
      <c r="A10" s="52" t="s">
        <v>294</v>
      </c>
      <c r="B10" s="53">
        <v>3000</v>
      </c>
      <c r="C10" s="53">
        <v>3500</v>
      </c>
      <c r="D10" s="53">
        <f t="shared" si="0"/>
        <v>60</v>
      </c>
    </row>
    <row r="11" spans="1:4">
      <c r="A11" s="52" t="s">
        <v>295</v>
      </c>
      <c r="B11" s="53">
        <v>4000</v>
      </c>
      <c r="C11" s="53">
        <v>5000</v>
      </c>
      <c r="D11" s="53">
        <f t="shared" si="0"/>
        <v>80</v>
      </c>
    </row>
    <row r="12" spans="1:4">
      <c r="A12" s="52" t="s">
        <v>296</v>
      </c>
      <c r="B12" s="53">
        <v>4500</v>
      </c>
      <c r="C12" s="53">
        <v>5000</v>
      </c>
      <c r="D12" s="53">
        <f t="shared" si="0"/>
        <v>90</v>
      </c>
    </row>
    <row r="13" spans="1:4">
      <c r="A13" s="52" t="s">
        <v>50</v>
      </c>
      <c r="B13" s="53">
        <v>5000</v>
      </c>
      <c r="C13" s="53">
        <v>7000</v>
      </c>
      <c r="D13" s="53">
        <f t="shared" si="0"/>
        <v>100</v>
      </c>
    </row>
    <row r="14" spans="1:4">
      <c r="A14" s="52" t="s">
        <v>52</v>
      </c>
      <c r="B14" s="53">
        <v>6000</v>
      </c>
      <c r="C14" s="53">
        <v>8000</v>
      </c>
      <c r="D14" s="53">
        <f t="shared" si="0"/>
        <v>120</v>
      </c>
    </row>
    <row r="15" spans="1:4">
      <c r="A15" s="52" t="s">
        <v>297</v>
      </c>
      <c r="B15" s="53">
        <v>3000</v>
      </c>
      <c r="C15" s="53">
        <v>4500</v>
      </c>
      <c r="D15" s="53">
        <f t="shared" si="0"/>
        <v>60</v>
      </c>
    </row>
    <row r="16" spans="1:4">
      <c r="A16" s="52" t="s">
        <v>298</v>
      </c>
      <c r="B16" s="53">
        <v>3000</v>
      </c>
      <c r="C16" s="53">
        <v>4500</v>
      </c>
      <c r="D16" s="53">
        <f t="shared" si="0"/>
        <v>60</v>
      </c>
    </row>
    <row r="17" spans="1:4">
      <c r="A17" s="52" t="s">
        <v>299</v>
      </c>
      <c r="B17" s="53">
        <v>2500</v>
      </c>
      <c r="C17" s="53">
        <v>5500</v>
      </c>
      <c r="D17" s="53">
        <f t="shared" si="0"/>
        <v>50</v>
      </c>
    </row>
    <row r="18" spans="1:4">
      <c r="A18" s="52" t="s">
        <v>58</v>
      </c>
      <c r="B18" s="53">
        <v>2700</v>
      </c>
      <c r="C18" s="53">
        <v>4500</v>
      </c>
      <c r="D18" s="53">
        <f t="shared" si="0"/>
        <v>54</v>
      </c>
    </row>
    <row r="19" spans="1:4">
      <c r="A19" s="52" t="s">
        <v>60</v>
      </c>
      <c r="B19" s="53">
        <v>4500</v>
      </c>
      <c r="C19" s="53">
        <v>5000</v>
      </c>
      <c r="D19" s="53">
        <f t="shared" si="0"/>
        <v>90</v>
      </c>
    </row>
    <row r="20" spans="1:4">
      <c r="A20" s="52" t="s">
        <v>62</v>
      </c>
      <c r="B20" s="53">
        <v>2000</v>
      </c>
      <c r="C20" s="53">
        <v>3500</v>
      </c>
      <c r="D20" s="53">
        <f t="shared" si="0"/>
        <v>40</v>
      </c>
    </row>
    <row r="21" spans="1:4">
      <c r="A21" s="52" t="s">
        <v>300</v>
      </c>
      <c r="B21" s="53">
        <v>2500</v>
      </c>
      <c r="C21" s="53">
        <v>4000</v>
      </c>
      <c r="D21" s="53">
        <f t="shared" si="0"/>
        <v>50</v>
      </c>
    </row>
    <row r="22" spans="1:4">
      <c r="A22" s="52" t="s">
        <v>301</v>
      </c>
      <c r="B22" s="53">
        <v>1500</v>
      </c>
      <c r="C22" s="53">
        <v>2500</v>
      </c>
      <c r="D22" s="53">
        <f t="shared" si="0"/>
        <v>30</v>
      </c>
    </row>
    <row r="23" spans="1:4">
      <c r="A23" s="52" t="s">
        <v>68</v>
      </c>
      <c r="B23" s="53">
        <v>1800</v>
      </c>
      <c r="C23" s="53">
        <v>2000</v>
      </c>
      <c r="D23" s="53">
        <f t="shared" si="0"/>
        <v>36</v>
      </c>
    </row>
    <row r="24" spans="1:4">
      <c r="A24" s="52" t="s">
        <v>302</v>
      </c>
      <c r="B24" s="53">
        <v>3000</v>
      </c>
      <c r="C24" s="53">
        <v>5000</v>
      </c>
      <c r="D24" s="53">
        <f t="shared" si="0"/>
        <v>60</v>
      </c>
    </row>
    <row r="25" spans="1:4">
      <c r="A25" s="52" t="s">
        <v>303</v>
      </c>
      <c r="B25" s="53">
        <v>2500</v>
      </c>
      <c r="C25" s="53">
        <v>3500</v>
      </c>
      <c r="D25" s="53">
        <f t="shared" si="0"/>
        <v>50</v>
      </c>
    </row>
    <row r="26" spans="1:4">
      <c r="A26" s="52" t="s">
        <v>74</v>
      </c>
      <c r="B26" s="53">
        <v>2700</v>
      </c>
      <c r="C26" s="53">
        <v>4500</v>
      </c>
      <c r="D26" s="53">
        <f t="shared" si="0"/>
        <v>54</v>
      </c>
    </row>
    <row r="27" spans="1:4">
      <c r="A27" s="52" t="s">
        <v>297</v>
      </c>
      <c r="B27" s="53">
        <v>3000</v>
      </c>
      <c r="C27" s="53">
        <v>4500</v>
      </c>
      <c r="D27" s="53">
        <f t="shared" si="0"/>
        <v>60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3" sqref="A3"/>
    </sheetView>
  </sheetViews>
  <sheetFormatPr defaultColWidth="9" defaultRowHeight="14.4" outlineLevelCol="7"/>
  <cols>
    <col min="1" max="1" width="12.5740740740741" customWidth="1"/>
    <col min="2" max="2" width="15.5740740740741" customWidth="1"/>
  </cols>
  <sheetData>
    <row r="1" spans="1:8">
      <c r="A1" s="50" t="s">
        <v>304</v>
      </c>
      <c r="B1" s="50"/>
      <c r="C1" s="50"/>
      <c r="D1" s="50"/>
      <c r="E1" s="50"/>
      <c r="F1" s="50"/>
      <c r="G1" s="50"/>
      <c r="H1" s="50"/>
    </row>
    <row r="2" spans="1:8">
      <c r="A2" s="50"/>
      <c r="B2" s="50"/>
      <c r="C2" s="50"/>
      <c r="D2" s="50"/>
      <c r="E2" s="50"/>
      <c r="F2" s="50"/>
      <c r="G2" s="50"/>
      <c r="H2" s="50"/>
    </row>
    <row r="3" spans="1:8">
      <c r="A3" s="48" t="s">
        <v>305</v>
      </c>
      <c r="B3" s="48" t="s">
        <v>306</v>
      </c>
      <c r="C3" s="48" t="s">
        <v>307</v>
      </c>
      <c r="D3" s="48" t="s">
        <v>308</v>
      </c>
      <c r="E3" s="48" t="s">
        <v>309</v>
      </c>
      <c r="F3" s="48" t="s">
        <v>310</v>
      </c>
      <c r="G3" s="48" t="s">
        <v>311</v>
      </c>
      <c r="H3" s="48" t="s">
        <v>312</v>
      </c>
    </row>
    <row r="4" spans="1:8">
      <c r="A4" s="49" t="s">
        <v>313</v>
      </c>
      <c r="B4" s="49" t="s">
        <v>314</v>
      </c>
      <c r="C4" s="49">
        <v>35</v>
      </c>
      <c r="D4" s="49">
        <v>45</v>
      </c>
      <c r="E4" s="49">
        <v>65</v>
      </c>
      <c r="F4" s="49">
        <v>77</v>
      </c>
      <c r="G4" s="49">
        <v>95</v>
      </c>
      <c r="H4" s="49">
        <v>77</v>
      </c>
    </row>
    <row r="5" spans="1:8">
      <c r="A5" s="49" t="s">
        <v>315</v>
      </c>
      <c r="B5" s="49" t="s">
        <v>316</v>
      </c>
      <c r="C5" s="49">
        <v>55</v>
      </c>
      <c r="D5" s="49">
        <v>65</v>
      </c>
      <c r="E5" s="49">
        <v>74</v>
      </c>
      <c r="F5" s="49">
        <v>80</v>
      </c>
      <c r="G5" s="49">
        <v>85</v>
      </c>
      <c r="H5" s="49">
        <v>79</v>
      </c>
    </row>
    <row r="6" spans="1:8">
      <c r="A6" s="49" t="s">
        <v>317</v>
      </c>
      <c r="B6" s="49" t="s">
        <v>318</v>
      </c>
      <c r="C6" s="49">
        <v>67</v>
      </c>
      <c r="D6" s="49">
        <v>88</v>
      </c>
      <c r="E6" s="49">
        <v>76</v>
      </c>
      <c r="F6" s="49">
        <v>79</v>
      </c>
      <c r="G6" s="49">
        <v>99</v>
      </c>
      <c r="H6" s="49">
        <v>89</v>
      </c>
    </row>
    <row r="7" spans="1:8">
      <c r="A7" s="49" t="s">
        <v>319</v>
      </c>
      <c r="B7" s="49" t="s">
        <v>320</v>
      </c>
      <c r="C7" s="49">
        <v>64</v>
      </c>
      <c r="D7" s="49">
        <v>75</v>
      </c>
      <c r="E7" s="49">
        <v>86</v>
      </c>
      <c r="F7" s="49">
        <v>75</v>
      </c>
      <c r="G7" s="49">
        <v>90</v>
      </c>
      <c r="H7" s="49">
        <v>85</v>
      </c>
    </row>
    <row r="8" spans="1:8">
      <c r="A8" s="49" t="s">
        <v>321</v>
      </c>
      <c r="B8" s="49" t="s">
        <v>322</v>
      </c>
      <c r="C8" s="49">
        <v>78</v>
      </c>
      <c r="D8" s="49">
        <v>46</v>
      </c>
      <c r="E8" s="49">
        <v>66</v>
      </c>
      <c r="F8" s="49">
        <v>90</v>
      </c>
      <c r="G8" s="49">
        <v>77</v>
      </c>
      <c r="H8" s="49">
        <v>69</v>
      </c>
    </row>
    <row r="9" spans="1:8">
      <c r="A9" s="49" t="s">
        <v>323</v>
      </c>
      <c r="B9" s="49" t="s">
        <v>324</v>
      </c>
      <c r="C9" s="49">
        <v>88</v>
      </c>
      <c r="D9" s="49">
        <v>78</v>
      </c>
      <c r="E9" s="49">
        <v>48</v>
      </c>
      <c r="F9" s="49">
        <v>95</v>
      </c>
      <c r="G9" s="49">
        <v>89</v>
      </c>
      <c r="H9" s="49">
        <v>88</v>
      </c>
    </row>
    <row r="10" spans="1:8">
      <c r="A10" s="49" t="s">
        <v>325</v>
      </c>
      <c r="B10" s="49" t="s">
        <v>326</v>
      </c>
      <c r="C10" s="49">
        <v>56</v>
      </c>
      <c r="D10" s="49">
        <v>88</v>
      </c>
      <c r="E10" s="49">
        <v>87</v>
      </c>
      <c r="F10" s="49">
        <v>98</v>
      </c>
      <c r="G10" s="49">
        <v>56</v>
      </c>
      <c r="H10" s="49">
        <v>54</v>
      </c>
    </row>
  </sheetData>
  <mergeCells count="1">
    <mergeCell ref="A1:H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14" sqref="G14"/>
    </sheetView>
  </sheetViews>
  <sheetFormatPr defaultColWidth="9" defaultRowHeight="14.4" outlineLevelRow="7" outlineLevelCol="6"/>
  <sheetData>
    <row r="1" spans="1:7">
      <c r="A1" s="48" t="s">
        <v>305</v>
      </c>
      <c r="B1" s="48" t="s">
        <v>307</v>
      </c>
      <c r="C1" s="48" t="s">
        <v>308</v>
      </c>
      <c r="D1" s="48" t="s">
        <v>309</v>
      </c>
      <c r="E1" s="48" t="s">
        <v>310</v>
      </c>
      <c r="F1" s="48" t="s">
        <v>311</v>
      </c>
      <c r="G1" s="48" t="s">
        <v>312</v>
      </c>
    </row>
    <row r="2" spans="1:7">
      <c r="A2" s="49" t="s">
        <v>313</v>
      </c>
      <c r="B2" s="49">
        <v>35</v>
      </c>
      <c r="C2" s="49">
        <v>45</v>
      </c>
      <c r="D2" s="49">
        <v>65</v>
      </c>
      <c r="E2" s="49">
        <v>77</v>
      </c>
      <c r="F2" s="49">
        <v>95</v>
      </c>
      <c r="G2" s="49">
        <v>77</v>
      </c>
    </row>
    <row r="3" spans="1:7">
      <c r="A3" s="49" t="s">
        <v>315</v>
      </c>
      <c r="B3" s="49">
        <v>55</v>
      </c>
      <c r="C3" s="49">
        <v>65</v>
      </c>
      <c r="D3" s="49">
        <v>74</v>
      </c>
      <c r="E3" s="49">
        <v>80</v>
      </c>
      <c r="F3" s="49">
        <v>85</v>
      </c>
      <c r="G3" s="49">
        <v>79</v>
      </c>
    </row>
    <row r="4" spans="1:7">
      <c r="A4" s="49" t="s">
        <v>317</v>
      </c>
      <c r="B4" s="49">
        <v>67</v>
      </c>
      <c r="C4" s="49">
        <v>88</v>
      </c>
      <c r="D4" s="49">
        <v>76</v>
      </c>
      <c r="E4" s="49">
        <v>79</v>
      </c>
      <c r="F4" s="49">
        <v>99</v>
      </c>
      <c r="G4" s="49">
        <v>89</v>
      </c>
    </row>
    <row r="5" spans="1:7">
      <c r="A5" s="49" t="s">
        <v>319</v>
      </c>
      <c r="B5" s="49">
        <v>64</v>
      </c>
      <c r="C5" s="49">
        <v>75</v>
      </c>
      <c r="D5" s="49">
        <v>86</v>
      </c>
      <c r="E5" s="49">
        <v>75</v>
      </c>
      <c r="F5" s="49">
        <v>90</v>
      </c>
      <c r="G5" s="49">
        <v>85</v>
      </c>
    </row>
    <row r="6" spans="1:7">
      <c r="A6" s="49" t="s">
        <v>321</v>
      </c>
      <c r="B6" s="49">
        <v>78</v>
      </c>
      <c r="C6" s="49">
        <v>46</v>
      </c>
      <c r="D6" s="49">
        <v>66</v>
      </c>
      <c r="E6" s="49">
        <v>90</v>
      </c>
      <c r="F6" s="49">
        <v>77</v>
      </c>
      <c r="G6" s="49">
        <v>69</v>
      </c>
    </row>
    <row r="7" spans="1:7">
      <c r="A7" s="49" t="s">
        <v>323</v>
      </c>
      <c r="B7" s="49">
        <v>88</v>
      </c>
      <c r="C7" s="49">
        <v>78</v>
      </c>
      <c r="D7" s="49">
        <v>48</v>
      </c>
      <c r="E7" s="49">
        <v>95</v>
      </c>
      <c r="F7" s="49">
        <v>89</v>
      </c>
      <c r="G7" s="49">
        <v>88</v>
      </c>
    </row>
    <row r="8" spans="1:7">
      <c r="A8" s="49" t="s">
        <v>325</v>
      </c>
      <c r="B8" s="49">
        <v>56</v>
      </c>
      <c r="C8" s="49">
        <v>88</v>
      </c>
      <c r="D8" s="49">
        <v>87</v>
      </c>
      <c r="E8" s="49">
        <v>98</v>
      </c>
      <c r="F8" s="49">
        <v>56</v>
      </c>
      <c r="G8" s="49">
        <v>54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N14" sqref="N14"/>
    </sheetView>
  </sheetViews>
  <sheetFormatPr defaultColWidth="9" defaultRowHeight="14.4" outlineLevelRow="7"/>
  <cols>
    <col min="2" max="2" width="19" customWidth="1"/>
    <col min="3" max="3" width="9.57407407407407" customWidth="1"/>
    <col min="5" max="5" width="11.1388888888889" customWidth="1"/>
    <col min="6" max="6" width="10.8518518518519" customWidth="1"/>
  </cols>
  <sheetData>
    <row r="1" ht="18" spans="1:14">
      <c r="A1" s="42" t="s">
        <v>305</v>
      </c>
      <c r="B1" s="42" t="s">
        <v>327</v>
      </c>
      <c r="C1" s="42" t="s">
        <v>2</v>
      </c>
      <c r="D1" s="42" t="s">
        <v>328</v>
      </c>
      <c r="E1" s="42" t="s">
        <v>26</v>
      </c>
      <c r="F1" s="42" t="s">
        <v>28</v>
      </c>
    </row>
    <row r="2" spans="1:14">
      <c r="A2" s="43" t="s">
        <v>313</v>
      </c>
      <c r="B2" s="43">
        <v>1234567890</v>
      </c>
      <c r="C2" s="43" t="s">
        <v>20</v>
      </c>
      <c r="D2" s="44">
        <v>45</v>
      </c>
      <c r="E2" s="45">
        <v>65</v>
      </c>
      <c r="F2" s="46">
        <f>D2*E2</f>
        <v>2925</v>
      </c>
    </row>
    <row r="3" spans="1:14">
      <c r="A3" s="43" t="s">
        <v>315</v>
      </c>
      <c r="B3" s="43"/>
      <c r="C3" s="43" t="s">
        <v>6</v>
      </c>
      <c r="D3" s="44">
        <v>65</v>
      </c>
      <c r="E3" s="45">
        <v>74</v>
      </c>
      <c r="F3" s="46">
        <f t="shared" ref="F3:F8" si="0">D3*E3</f>
        <v>4810</v>
      </c>
    </row>
    <row r="4" spans="1:14">
      <c r="A4" s="43" t="s">
        <v>317</v>
      </c>
      <c r="B4" s="43"/>
      <c r="C4" s="43" t="s">
        <v>8</v>
      </c>
      <c r="D4" s="44">
        <v>88</v>
      </c>
      <c r="E4" s="45">
        <v>76</v>
      </c>
      <c r="F4" s="46">
        <f t="shared" si="0"/>
        <v>6688</v>
      </c>
    </row>
    <row r="5" spans="1:14">
      <c r="A5" s="43" t="s">
        <v>319</v>
      </c>
      <c r="B5" s="43"/>
      <c r="C5" s="43" t="s">
        <v>10</v>
      </c>
      <c r="D5" s="44">
        <v>75</v>
      </c>
      <c r="E5" s="45">
        <v>86</v>
      </c>
      <c r="F5" s="46">
        <f t="shared" si="0"/>
        <v>6450</v>
      </c>
    </row>
    <row r="6" spans="1:14">
      <c r="A6" s="43" t="s">
        <v>321</v>
      </c>
      <c r="B6" s="43"/>
      <c r="C6" s="43" t="s">
        <v>13</v>
      </c>
      <c r="D6" s="44">
        <v>46</v>
      </c>
      <c r="E6" s="45">
        <v>66</v>
      </c>
      <c r="F6" s="46">
        <f t="shared" si="0"/>
        <v>3036</v>
      </c>
    </row>
    <row r="7" spans="1:14">
      <c r="A7" s="43" t="s">
        <v>323</v>
      </c>
      <c r="B7" s="43"/>
      <c r="C7" s="43" t="s">
        <v>16</v>
      </c>
      <c r="D7" s="44">
        <v>78</v>
      </c>
      <c r="E7" s="45">
        <v>48</v>
      </c>
      <c r="F7" s="46">
        <f t="shared" si="0"/>
        <v>3744</v>
      </c>
    </row>
    <row r="8" spans="1:14">
      <c r="A8" s="43" t="s">
        <v>325</v>
      </c>
      <c r="B8" s="43"/>
      <c r="C8" s="43" t="s">
        <v>18</v>
      </c>
      <c r="D8" s="44">
        <v>88</v>
      </c>
      <c r="E8" s="45">
        <v>87</v>
      </c>
      <c r="F8" s="46">
        <f t="shared" si="0"/>
        <v>7656</v>
      </c>
      <c r="N8" s="47"/>
    </row>
  </sheetData>
  <dataValidations count="2">
    <dataValidation type="textLength" operator="between" allowBlank="1" showInputMessage="1" showErrorMessage="1" errorTitle="Invalid Number" error="Please Enter Valid Number" sqref="B2:B8">
      <formula1>10</formula1>
      <formula2>10</formula2>
    </dataValidation>
    <dataValidation type="list" allowBlank="1" showInputMessage="1" showErrorMessage="1" sqref="C2:C8">
      <formula1>#REF!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pane ySplit="1" topLeftCell="A8" activePane="bottomLeft" state="frozen"/>
      <selection/>
      <selection pane="bottomLeft" activeCell="L15" sqref="L15"/>
    </sheetView>
  </sheetViews>
  <sheetFormatPr defaultColWidth="9" defaultRowHeight="14.4" outlineLevelCol="6"/>
  <cols>
    <col min="1" max="1" width="14.5740740740741" customWidth="1"/>
    <col min="2" max="2" width="15" customWidth="1"/>
    <col min="3" max="3" width="8.42592592592593" customWidth="1"/>
    <col min="4" max="4" width="14.4259259259259" customWidth="1"/>
    <col min="5" max="5" width="17.4259259259259" customWidth="1"/>
    <col min="7" max="7" width="10.5740740740741" customWidth="1"/>
  </cols>
  <sheetData>
    <row r="1" ht="21" spans="1:7">
      <c r="A1" s="3" t="s">
        <v>329</v>
      </c>
      <c r="B1" s="4" t="s">
        <v>25</v>
      </c>
      <c r="C1" s="4" t="s">
        <v>3</v>
      </c>
      <c r="D1" s="4" t="s">
        <v>286</v>
      </c>
      <c r="E1" s="40" t="s">
        <v>287</v>
      </c>
      <c r="F1" s="41"/>
      <c r="G1" s="41"/>
    </row>
    <row r="2" spans="1:7">
      <c r="A2" t="s">
        <v>233</v>
      </c>
      <c r="B2" t="s">
        <v>288</v>
      </c>
      <c r="C2">
        <v>2500</v>
      </c>
      <c r="D2">
        <v>3000</v>
      </c>
      <c r="E2">
        <f t="shared" ref="E2:E26" si="0">C2*2%</f>
        <v>50</v>
      </c>
    </row>
    <row r="3" spans="1:7">
      <c r="A3" t="s">
        <v>245</v>
      </c>
      <c r="B3" t="s">
        <v>289</v>
      </c>
      <c r="C3">
        <v>3000</v>
      </c>
      <c r="D3">
        <v>5000</v>
      </c>
      <c r="E3">
        <f t="shared" si="0"/>
        <v>60</v>
      </c>
    </row>
    <row r="4" spans="1:7">
      <c r="A4" t="s">
        <v>265</v>
      </c>
      <c r="B4" t="s">
        <v>290</v>
      </c>
      <c r="C4">
        <v>3500</v>
      </c>
      <c r="D4">
        <v>4000</v>
      </c>
      <c r="E4">
        <f t="shared" si="0"/>
        <v>70</v>
      </c>
    </row>
    <row r="5" spans="1:7">
      <c r="A5" t="s">
        <v>273</v>
      </c>
      <c r="B5" t="s">
        <v>291</v>
      </c>
      <c r="C5">
        <v>4500</v>
      </c>
      <c r="D5">
        <v>6000</v>
      </c>
      <c r="E5">
        <f t="shared" si="0"/>
        <v>90</v>
      </c>
    </row>
    <row r="6" spans="1:7">
      <c r="A6" t="s">
        <v>283</v>
      </c>
      <c r="B6" t="s">
        <v>292</v>
      </c>
      <c r="C6">
        <v>2500</v>
      </c>
      <c r="D6">
        <v>4000</v>
      </c>
      <c r="E6">
        <f t="shared" si="0"/>
        <v>50</v>
      </c>
    </row>
    <row r="7" spans="1:7">
      <c r="A7" t="s">
        <v>253</v>
      </c>
      <c r="B7" t="s">
        <v>38</v>
      </c>
      <c r="C7">
        <v>3100</v>
      </c>
      <c r="D7">
        <v>4000</v>
      </c>
      <c r="E7">
        <f t="shared" si="0"/>
        <v>62</v>
      </c>
    </row>
    <row r="8" spans="1:7">
      <c r="A8" t="s">
        <v>266</v>
      </c>
      <c r="B8" t="s">
        <v>40</v>
      </c>
      <c r="C8">
        <v>3300</v>
      </c>
      <c r="D8">
        <v>4500</v>
      </c>
      <c r="E8">
        <f t="shared" si="0"/>
        <v>66</v>
      </c>
    </row>
    <row r="9" spans="1:7">
      <c r="A9" t="s">
        <v>255</v>
      </c>
      <c r="B9" t="s">
        <v>293</v>
      </c>
      <c r="C9">
        <v>2500</v>
      </c>
      <c r="D9">
        <v>3000</v>
      </c>
      <c r="E9">
        <f t="shared" si="0"/>
        <v>50</v>
      </c>
    </row>
    <row r="10" spans="1:7">
      <c r="A10" t="s">
        <v>270</v>
      </c>
      <c r="B10" t="s">
        <v>294</v>
      </c>
      <c r="C10">
        <v>3000</v>
      </c>
      <c r="D10">
        <v>3500</v>
      </c>
      <c r="E10">
        <f t="shared" si="0"/>
        <v>60</v>
      </c>
    </row>
    <row r="11" spans="1:7">
      <c r="A11" t="s">
        <v>276</v>
      </c>
      <c r="B11" t="s">
        <v>295</v>
      </c>
      <c r="C11">
        <v>4000</v>
      </c>
      <c r="D11">
        <v>5000</v>
      </c>
      <c r="E11">
        <f t="shared" si="0"/>
        <v>80</v>
      </c>
    </row>
    <row r="12" spans="1:7">
      <c r="A12" t="s">
        <v>241</v>
      </c>
      <c r="B12" t="s">
        <v>296</v>
      </c>
      <c r="C12">
        <v>4500</v>
      </c>
      <c r="D12">
        <v>5000</v>
      </c>
      <c r="E12">
        <f t="shared" si="0"/>
        <v>90</v>
      </c>
    </row>
    <row r="13" spans="1:7">
      <c r="A13" t="s">
        <v>259</v>
      </c>
      <c r="B13" t="s">
        <v>50</v>
      </c>
      <c r="C13">
        <v>5000</v>
      </c>
      <c r="D13">
        <v>7000</v>
      </c>
      <c r="E13">
        <f t="shared" si="0"/>
        <v>100</v>
      </c>
    </row>
    <row r="14" spans="1:7">
      <c r="A14" t="s">
        <v>282</v>
      </c>
      <c r="B14" t="s">
        <v>52</v>
      </c>
      <c r="C14">
        <v>6000</v>
      </c>
      <c r="D14">
        <v>8000</v>
      </c>
      <c r="E14">
        <f t="shared" si="0"/>
        <v>120</v>
      </c>
    </row>
    <row r="15" spans="1:7">
      <c r="A15" t="s">
        <v>330</v>
      </c>
      <c r="B15" t="s">
        <v>297</v>
      </c>
      <c r="C15">
        <v>3000</v>
      </c>
      <c r="D15">
        <v>4500</v>
      </c>
      <c r="E15">
        <f t="shared" si="0"/>
        <v>60</v>
      </c>
    </row>
    <row r="16" spans="1:7">
      <c r="A16" t="s">
        <v>277</v>
      </c>
      <c r="B16" t="s">
        <v>298</v>
      </c>
      <c r="C16">
        <v>3000</v>
      </c>
      <c r="D16">
        <v>4500</v>
      </c>
      <c r="E16">
        <f t="shared" si="0"/>
        <v>60</v>
      </c>
    </row>
    <row r="17" spans="1:5">
      <c r="A17" t="s">
        <v>281</v>
      </c>
      <c r="B17" t="s">
        <v>299</v>
      </c>
      <c r="C17">
        <v>2500</v>
      </c>
      <c r="D17">
        <v>5500</v>
      </c>
      <c r="E17">
        <f t="shared" si="0"/>
        <v>50</v>
      </c>
    </row>
    <row r="18" spans="1:5">
      <c r="A18" t="s">
        <v>251</v>
      </c>
      <c r="B18" t="s">
        <v>58</v>
      </c>
      <c r="C18">
        <v>2700</v>
      </c>
      <c r="D18">
        <v>4500</v>
      </c>
      <c r="E18">
        <f t="shared" si="0"/>
        <v>54</v>
      </c>
    </row>
    <row r="19" spans="1:5">
      <c r="A19" t="s">
        <v>284</v>
      </c>
      <c r="B19" t="s">
        <v>60</v>
      </c>
      <c r="C19">
        <v>4500</v>
      </c>
      <c r="D19">
        <v>5000</v>
      </c>
      <c r="E19">
        <f t="shared" si="0"/>
        <v>90</v>
      </c>
    </row>
    <row r="20" spans="1:5">
      <c r="A20" t="s">
        <v>248</v>
      </c>
      <c r="B20" t="s">
        <v>62</v>
      </c>
      <c r="C20">
        <v>2000</v>
      </c>
      <c r="D20">
        <v>3500</v>
      </c>
      <c r="E20">
        <f t="shared" si="0"/>
        <v>40</v>
      </c>
    </row>
    <row r="21" spans="1:5">
      <c r="A21" t="s">
        <v>268</v>
      </c>
      <c r="B21" t="s">
        <v>300</v>
      </c>
      <c r="C21">
        <v>2500</v>
      </c>
      <c r="D21">
        <v>4000</v>
      </c>
      <c r="E21">
        <f t="shared" si="0"/>
        <v>50</v>
      </c>
    </row>
    <row r="22" spans="1:5">
      <c r="A22" t="s">
        <v>274</v>
      </c>
      <c r="B22" t="s">
        <v>301</v>
      </c>
      <c r="C22">
        <v>1500</v>
      </c>
      <c r="D22">
        <v>2500</v>
      </c>
      <c r="E22">
        <f t="shared" si="0"/>
        <v>30</v>
      </c>
    </row>
    <row r="23" spans="1:5">
      <c r="A23" t="s">
        <v>279</v>
      </c>
      <c r="B23" t="s">
        <v>68</v>
      </c>
      <c r="C23">
        <v>1800</v>
      </c>
      <c r="D23">
        <v>2000</v>
      </c>
      <c r="E23">
        <f t="shared" si="0"/>
        <v>36</v>
      </c>
    </row>
    <row r="24" spans="1:5">
      <c r="A24" t="s">
        <v>261</v>
      </c>
      <c r="B24" t="s">
        <v>302</v>
      </c>
      <c r="C24">
        <v>3000</v>
      </c>
      <c r="D24">
        <v>5000</v>
      </c>
      <c r="E24">
        <f t="shared" si="0"/>
        <v>60</v>
      </c>
    </row>
    <row r="25" spans="1:5">
      <c r="A25" t="s">
        <v>331</v>
      </c>
      <c r="B25" t="s">
        <v>303</v>
      </c>
      <c r="C25">
        <v>2500</v>
      </c>
      <c r="D25">
        <v>3500</v>
      </c>
      <c r="E25">
        <f t="shared" si="0"/>
        <v>50</v>
      </c>
    </row>
    <row r="26" spans="1:5">
      <c r="A26" t="s">
        <v>332</v>
      </c>
      <c r="B26" t="s">
        <v>74</v>
      </c>
      <c r="C26">
        <v>2700</v>
      </c>
      <c r="D26">
        <v>4500</v>
      </c>
      <c r="E26">
        <f t="shared" si="0"/>
        <v>54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opLeftCell="A2" workbookViewId="0">
      <selection activeCell="E2" sqref="E2"/>
    </sheetView>
  </sheetViews>
  <sheetFormatPr defaultColWidth="9" defaultRowHeight="14.4"/>
  <cols>
    <col min="1" max="1" width="14.287037037037" customWidth="1"/>
    <col min="2" max="2" width="14.8518518518519" customWidth="1"/>
    <col min="3" max="3" width="12.8518518518519" customWidth="1"/>
    <col min="4" max="4" width="13.1388888888889" customWidth="1"/>
    <col min="5" max="5" width="21.712962962963" customWidth="1"/>
    <col min="7" max="7" width="22.287037037037" customWidth="1"/>
    <col min="8" max="8" width="37.5740740740741" customWidth="1"/>
    <col min="10" max="10" width="11" customWidth="1"/>
    <col min="12" max="12" width="31.712962962963" customWidth="1"/>
  </cols>
  <sheetData>
    <row r="1" spans="1:14">
      <c r="A1" s="25" t="s">
        <v>224</v>
      </c>
      <c r="B1" s="26" t="s">
        <v>226</v>
      </c>
      <c r="C1" s="26" t="s">
        <v>333</v>
      </c>
      <c r="D1" s="26" t="s">
        <v>334</v>
      </c>
      <c r="E1" s="26" t="s">
        <v>335</v>
      </c>
    </row>
    <row r="2" spans="1:14">
      <c r="A2" s="27">
        <v>101</v>
      </c>
      <c r="B2" s="28" t="s">
        <v>278</v>
      </c>
      <c r="C2" s="28">
        <v>20000</v>
      </c>
      <c r="D2" s="28">
        <v>20000</v>
      </c>
      <c r="E2" s="28">
        <v>21000</v>
      </c>
      <c r="G2" s="29" t="s">
        <v>336</v>
      </c>
      <c r="H2" s="30"/>
      <c r="I2" s="30"/>
      <c r="J2" s="30"/>
      <c r="K2" s="30"/>
      <c r="L2" s="31"/>
    </row>
    <row r="3" ht="15.6" spans="1:14">
      <c r="A3" s="27">
        <v>102</v>
      </c>
      <c r="B3" s="28" t="s">
        <v>3</v>
      </c>
      <c r="C3" s="28">
        <v>15000</v>
      </c>
      <c r="D3" s="28">
        <v>18000</v>
      </c>
      <c r="E3" s="28">
        <v>17000</v>
      </c>
      <c r="G3" s="32" t="s">
        <v>337</v>
      </c>
      <c r="H3" s="33"/>
      <c r="I3" s="33"/>
      <c r="J3" s="33"/>
      <c r="K3" s="33"/>
      <c r="L3" s="34"/>
      <c r="M3">
        <f>MATCH(A12,A1:A16,0)</f>
        <v>12</v>
      </c>
    </row>
    <row r="4" ht="15.6" spans="1:14">
      <c r="A4" s="27">
        <v>103</v>
      </c>
      <c r="B4" s="28" t="s">
        <v>338</v>
      </c>
      <c r="C4" s="28">
        <v>12000</v>
      </c>
      <c r="D4" s="28">
        <v>11000</v>
      </c>
      <c r="E4" s="28">
        <v>12500</v>
      </c>
      <c r="G4" s="35" t="s">
        <v>339</v>
      </c>
      <c r="H4" s="36">
        <f>VLOOKUP(A12,A1:E16,5,0)</f>
        <v>23500</v>
      </c>
      <c r="I4" s="36"/>
      <c r="J4" s="37" t="s">
        <v>340</v>
      </c>
      <c r="K4" s="36"/>
      <c r="L4" s="36">
        <f>_xlfn.XLOOKUP(A12,A1:A16,E1:E16,0)</f>
        <v>23500</v>
      </c>
      <c r="N4">
        <f>INDEX(E1:E16,MATCH(A12,A1:A16,0))</f>
        <v>23500</v>
      </c>
    </row>
    <row r="5" spans="1:14">
      <c r="A5" s="27">
        <v>104</v>
      </c>
      <c r="B5" s="28" t="s">
        <v>243</v>
      </c>
      <c r="C5" s="28">
        <v>18000</v>
      </c>
      <c r="D5" s="28">
        <v>19000</v>
      </c>
      <c r="E5" s="28">
        <v>18500</v>
      </c>
    </row>
    <row r="6" spans="1:14">
      <c r="A6" s="27">
        <v>105</v>
      </c>
      <c r="B6" s="28" t="s">
        <v>278</v>
      </c>
      <c r="C6" s="28">
        <v>16000</v>
      </c>
      <c r="D6" s="28">
        <v>16200</v>
      </c>
      <c r="E6" s="28">
        <v>16500</v>
      </c>
      <c r="G6" s="29" t="s">
        <v>341</v>
      </c>
      <c r="H6" s="30"/>
      <c r="I6" s="30"/>
      <c r="J6" s="30"/>
      <c r="K6" s="30"/>
      <c r="L6" s="31"/>
    </row>
    <row r="7" ht="15.6" spans="1:14">
      <c r="A7" s="27">
        <v>106</v>
      </c>
      <c r="B7" s="28" t="s">
        <v>3</v>
      </c>
      <c r="C7" s="28">
        <v>22000</v>
      </c>
      <c r="D7" s="28">
        <v>21000</v>
      </c>
      <c r="E7" s="28">
        <v>22500</v>
      </c>
      <c r="G7" s="32" t="s">
        <v>342</v>
      </c>
      <c r="H7" s="33"/>
      <c r="I7" s="33"/>
      <c r="J7" s="33"/>
      <c r="K7" s="33"/>
      <c r="L7" s="34"/>
    </row>
    <row r="8" ht="15.6" spans="1:14">
      <c r="A8" s="27">
        <v>107</v>
      </c>
      <c r="B8" s="28" t="s">
        <v>243</v>
      </c>
      <c r="C8" s="28">
        <v>21000</v>
      </c>
      <c r="D8" s="28">
        <v>21500</v>
      </c>
      <c r="E8" s="28">
        <v>21200</v>
      </c>
      <c r="G8" s="35" t="s">
        <v>343</v>
      </c>
      <c r="H8" s="36" t="str">
        <f>LEFT(B2,4)</f>
        <v>Mark</v>
      </c>
      <c r="I8" s="38" t="str">
        <f>LEFT(B14,2)</f>
        <v>Sa</v>
      </c>
      <c r="J8" s="38"/>
      <c r="K8" s="38"/>
      <c r="L8" s="36"/>
    </row>
    <row r="9" spans="1:14">
      <c r="A9" s="27">
        <v>108</v>
      </c>
      <c r="B9" s="28" t="s">
        <v>338</v>
      </c>
      <c r="C9" s="28">
        <v>17000</v>
      </c>
      <c r="D9" s="28">
        <v>18000</v>
      </c>
      <c r="E9" s="28">
        <v>17500</v>
      </c>
      <c r="H9" t="str">
        <f>RIGHT(B2,3)</f>
        <v>ing</v>
      </c>
      <c r="I9" t="str">
        <f>RIGHT(B11,3)</f>
        <v>les</v>
      </c>
    </row>
    <row r="10" spans="1:14">
      <c r="A10" s="27">
        <v>109</v>
      </c>
      <c r="B10" s="28" t="s">
        <v>278</v>
      </c>
      <c r="C10" s="28">
        <v>21000</v>
      </c>
      <c r="D10" s="28">
        <v>23000</v>
      </c>
      <c r="E10" s="28">
        <v>22000</v>
      </c>
      <c r="G10" s="29" t="s">
        <v>344</v>
      </c>
      <c r="H10" s="30"/>
      <c r="I10" s="30"/>
      <c r="J10" s="30"/>
      <c r="K10" s="30"/>
      <c r="L10" s="31"/>
    </row>
    <row r="11" ht="15.6" spans="1:14">
      <c r="A11" s="27">
        <v>110</v>
      </c>
      <c r="B11" s="28" t="s">
        <v>3</v>
      </c>
      <c r="C11" s="28">
        <v>19000</v>
      </c>
      <c r="D11" s="28">
        <v>19000</v>
      </c>
      <c r="E11" s="28">
        <v>20000</v>
      </c>
      <c r="G11" s="32" t="s">
        <v>345</v>
      </c>
      <c r="H11" s="33"/>
      <c r="I11" s="33"/>
      <c r="J11" s="33"/>
      <c r="K11" s="33"/>
      <c r="L11" s="34"/>
    </row>
    <row r="12" ht="15.6" spans="1:14">
      <c r="A12" s="27">
        <v>111</v>
      </c>
      <c r="B12" s="28" t="s">
        <v>243</v>
      </c>
      <c r="C12" s="28">
        <v>23000</v>
      </c>
      <c r="D12" s="28">
        <v>24000</v>
      </c>
      <c r="E12" s="28">
        <v>23500</v>
      </c>
      <c r="G12" s="35" t="s">
        <v>343</v>
      </c>
      <c r="H12" s="39">
        <f>_xlfn.XLOOKUP(MAX(D2:D16),D2:D16,E2:E16,0)</f>
        <v>26000</v>
      </c>
      <c r="I12" s="38"/>
      <c r="J12" s="38"/>
      <c r="K12" s="38"/>
      <c r="L12" s="36"/>
    </row>
    <row r="13" spans="1:14">
      <c r="A13" s="27">
        <v>112</v>
      </c>
      <c r="B13" s="28" t="s">
        <v>278</v>
      </c>
      <c r="C13" s="28">
        <v>18000</v>
      </c>
      <c r="D13" s="28">
        <v>17500</v>
      </c>
      <c r="E13" s="28">
        <v>19000</v>
      </c>
      <c r="H13" s="5">
        <f>INDEX(E1:E16,MATCH(MAX(D1:D16),D1:D16,0))</f>
        <v>26000</v>
      </c>
    </row>
    <row r="14" spans="1:14">
      <c r="A14" s="27">
        <v>113</v>
      </c>
      <c r="B14" s="28" t="s">
        <v>3</v>
      </c>
      <c r="C14" s="28">
        <v>16500</v>
      </c>
      <c r="D14" s="28">
        <v>17500</v>
      </c>
      <c r="E14" s="28">
        <v>17200</v>
      </c>
      <c r="G14" s="29" t="s">
        <v>346</v>
      </c>
      <c r="H14" s="30"/>
      <c r="I14" s="30"/>
      <c r="J14" s="30"/>
      <c r="K14" s="30"/>
      <c r="L14" s="31"/>
    </row>
    <row r="15" ht="15.6" spans="1:14">
      <c r="A15" s="27">
        <v>114</v>
      </c>
      <c r="B15" s="28" t="s">
        <v>278</v>
      </c>
      <c r="C15" s="28">
        <v>15800</v>
      </c>
      <c r="D15" s="28">
        <v>16800</v>
      </c>
      <c r="E15" s="28">
        <v>16000</v>
      </c>
      <c r="G15" s="32" t="s">
        <v>347</v>
      </c>
      <c r="H15" s="33"/>
      <c r="I15" s="33"/>
      <c r="J15" s="33"/>
      <c r="K15" s="33"/>
      <c r="L15" s="34"/>
    </row>
    <row r="16" ht="15.6" spans="1:14">
      <c r="A16" s="27">
        <v>115</v>
      </c>
      <c r="B16" s="28" t="s">
        <v>243</v>
      </c>
      <c r="C16" s="28">
        <v>25000</v>
      </c>
      <c r="D16" s="28">
        <v>24500</v>
      </c>
      <c r="E16" s="28">
        <v>26000</v>
      </c>
      <c r="G16" s="35" t="s">
        <v>343</v>
      </c>
      <c r="H16" s="36">
        <f>SUMIFS(C1:C16,B1:B16,"IT")</f>
        <v>87000</v>
      </c>
      <c r="I16" s="38"/>
      <c r="J16" s="38"/>
      <c r="K16" s="38"/>
      <c r="L16" s="36"/>
    </row>
    <row r="18" spans="7:12">
      <c r="G18" s="29" t="s">
        <v>348</v>
      </c>
      <c r="H18" s="30"/>
      <c r="I18" s="30"/>
      <c r="J18" s="30"/>
      <c r="K18" s="30"/>
      <c r="L18" s="31"/>
    </row>
    <row r="19" ht="15.6" spans="7:12">
      <c r="G19" s="32" t="s">
        <v>349</v>
      </c>
      <c r="H19" s="33"/>
      <c r="I19" s="33"/>
      <c r="J19" s="33"/>
      <c r="K19" s="33"/>
      <c r="L19" s="34"/>
    </row>
    <row r="20" ht="15.6" spans="7:12">
      <c r="G20" s="35" t="s">
        <v>343</v>
      </c>
      <c r="H20" s="39" cm="1">
        <f t="array" ref="H20">SUM(COUNTIFS(B1:B16,{"IT","Marketing"}))</f>
        <v>9</v>
      </c>
      <c r="I20" s="38"/>
      <c r="J20" s="38"/>
      <c r="K20" s="38"/>
      <c r="L20" s="36"/>
    </row>
    <row r="22" spans="7:12">
      <c r="G22" s="29" t="s">
        <v>350</v>
      </c>
      <c r="H22" s="30"/>
      <c r="I22" s="30"/>
      <c r="J22" s="30"/>
      <c r="K22" s="30"/>
      <c r="L22" s="31"/>
    </row>
    <row r="23" ht="15.6" spans="7:12">
      <c r="G23" s="32" t="s">
        <v>351</v>
      </c>
      <c r="H23" s="33"/>
      <c r="I23" s="33"/>
      <c r="J23" s="33"/>
      <c r="K23" s="33"/>
      <c r="L23" s="34"/>
    </row>
    <row r="26" spans="7:12">
      <c r="H26" s="5"/>
    </row>
    <row r="27" spans="7:12">
      <c r="H27" s="5"/>
    </row>
  </sheetData>
  <mergeCells count="6">
    <mergeCell ref="G3:L3"/>
    <mergeCell ref="G7:L7"/>
    <mergeCell ref="G11:L11"/>
    <mergeCell ref="G15:L15"/>
    <mergeCell ref="G19:L19"/>
    <mergeCell ref="G23:L2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workbookViewId="0">
      <selection activeCell="N9" sqref="N9"/>
    </sheetView>
  </sheetViews>
  <sheetFormatPr defaultColWidth="9" defaultRowHeight="14.4"/>
  <cols>
    <col min="5" max="5" width="10.4259259259259" customWidth="1"/>
    <col min="7" max="7" width="10.1388888888889" customWidth="1"/>
    <col min="9" max="9" width="15" customWidth="1"/>
    <col min="10" max="10" width="19.8518518518519" customWidth="1"/>
    <col min="11" max="11" width="16.1388888888889" customWidth="1"/>
  </cols>
  <sheetData>
    <row r="1" spans="1:11">
      <c r="A1" s="21" t="s">
        <v>352</v>
      </c>
      <c r="B1" s="22" t="s">
        <v>353</v>
      </c>
      <c r="C1" s="22" t="s">
        <v>354</v>
      </c>
      <c r="D1" s="22" t="s">
        <v>355</v>
      </c>
      <c r="E1" s="22" t="s">
        <v>356</v>
      </c>
      <c r="F1" s="22" t="s">
        <v>3</v>
      </c>
      <c r="G1" s="22" t="s">
        <v>357</v>
      </c>
      <c r="H1" s="22" t="s">
        <v>358</v>
      </c>
      <c r="I1" s="22" t="s">
        <v>359</v>
      </c>
      <c r="J1" s="22" t="s">
        <v>360</v>
      </c>
      <c r="K1" s="22" t="s">
        <v>361</v>
      </c>
    </row>
    <row r="2" spans="1:11">
      <c r="A2" s="23" t="s">
        <v>21</v>
      </c>
      <c r="B2" s="24" t="s">
        <v>362</v>
      </c>
      <c r="C2" s="24">
        <v>548</v>
      </c>
      <c r="D2" s="24" t="s">
        <v>363</v>
      </c>
      <c r="E2" s="24" t="s">
        <v>364</v>
      </c>
      <c r="F2" s="24">
        <v>98886</v>
      </c>
      <c r="G2" s="24">
        <v>3820</v>
      </c>
      <c r="H2" s="24">
        <v>38300</v>
      </c>
      <c r="I2" s="24">
        <v>105960</v>
      </c>
      <c r="J2" s="24">
        <v>3590</v>
      </c>
      <c r="K2" s="24">
        <v>39568</v>
      </c>
    </row>
    <row r="3" spans="1:11">
      <c r="A3" s="23" t="s">
        <v>21</v>
      </c>
      <c r="B3" s="24" t="s">
        <v>362</v>
      </c>
      <c r="C3" s="24">
        <v>548</v>
      </c>
      <c r="D3" s="24" t="s">
        <v>363</v>
      </c>
      <c r="E3" s="24" t="s">
        <v>365</v>
      </c>
      <c r="F3" s="24">
        <v>106704</v>
      </c>
      <c r="G3" s="24">
        <v>7390</v>
      </c>
      <c r="H3" s="24">
        <v>58883</v>
      </c>
      <c r="I3" s="24">
        <v>106635</v>
      </c>
      <c r="J3" s="24">
        <v>7343</v>
      </c>
      <c r="K3" s="24">
        <v>57099</v>
      </c>
    </row>
    <row r="4" spans="1:11">
      <c r="A4" s="23" t="s">
        <v>21</v>
      </c>
      <c r="B4" s="24" t="s">
        <v>362</v>
      </c>
      <c r="C4" s="24">
        <v>548</v>
      </c>
      <c r="D4" s="24" t="s">
        <v>363</v>
      </c>
      <c r="E4" s="24" t="s">
        <v>366</v>
      </c>
      <c r="F4" s="24">
        <v>90853</v>
      </c>
      <c r="G4" s="24">
        <v>7854</v>
      </c>
      <c r="H4" s="24">
        <v>41528</v>
      </c>
      <c r="I4" s="24">
        <v>82859</v>
      </c>
      <c r="J4" s="24">
        <v>7505</v>
      </c>
      <c r="K4" s="24">
        <v>39255</v>
      </c>
    </row>
    <row r="5" spans="1:11">
      <c r="A5" s="23" t="s">
        <v>21</v>
      </c>
      <c r="B5" s="24" t="s">
        <v>362</v>
      </c>
      <c r="C5" s="24">
        <v>548</v>
      </c>
      <c r="D5" s="24" t="s">
        <v>363</v>
      </c>
      <c r="E5" s="24" t="s">
        <v>367</v>
      </c>
      <c r="F5" s="24">
        <v>172932</v>
      </c>
      <c r="G5" s="24">
        <v>19681</v>
      </c>
      <c r="H5" s="24">
        <v>44840</v>
      </c>
      <c r="I5" s="24">
        <v>204580</v>
      </c>
      <c r="J5" s="24">
        <v>21439</v>
      </c>
      <c r="K5" s="24">
        <v>43161</v>
      </c>
    </row>
    <row r="6" spans="1:11">
      <c r="A6" s="23" t="s">
        <v>21</v>
      </c>
      <c r="B6" s="24" t="s">
        <v>362</v>
      </c>
      <c r="C6" s="24">
        <v>548</v>
      </c>
      <c r="D6" s="24" t="s">
        <v>363</v>
      </c>
      <c r="E6" s="24" t="s">
        <v>368</v>
      </c>
      <c r="F6" s="24">
        <v>128875</v>
      </c>
      <c r="G6" s="24">
        <v>10402</v>
      </c>
      <c r="H6" s="24">
        <v>43788</v>
      </c>
      <c r="I6" s="24">
        <v>120982</v>
      </c>
      <c r="J6" s="24">
        <v>11637</v>
      </c>
      <c r="K6" s="24">
        <v>48466</v>
      </c>
    </row>
    <row r="7" spans="1:11">
      <c r="A7" s="23" t="s">
        <v>12</v>
      </c>
      <c r="B7" s="24" t="s">
        <v>362</v>
      </c>
      <c r="C7" s="24">
        <v>578</v>
      </c>
      <c r="D7" s="24" t="s">
        <v>369</v>
      </c>
      <c r="E7" s="24" t="s">
        <v>364</v>
      </c>
      <c r="F7" s="24">
        <v>158067</v>
      </c>
      <c r="G7" s="24">
        <v>5398</v>
      </c>
      <c r="H7" s="24">
        <v>55941</v>
      </c>
      <c r="I7" s="24">
        <v>203272</v>
      </c>
      <c r="J7" s="24">
        <v>7470</v>
      </c>
      <c r="K7" s="24">
        <v>62022</v>
      </c>
    </row>
    <row r="8" spans="1:11">
      <c r="A8" s="23" t="s">
        <v>12</v>
      </c>
      <c r="B8" s="24" t="s">
        <v>362</v>
      </c>
      <c r="C8" s="24">
        <v>578</v>
      </c>
      <c r="D8" s="24" t="s">
        <v>369</v>
      </c>
      <c r="E8" s="24" t="s">
        <v>365</v>
      </c>
      <c r="F8" s="24">
        <v>150608</v>
      </c>
      <c r="G8" s="24">
        <v>9536</v>
      </c>
      <c r="H8" s="24">
        <v>83194</v>
      </c>
      <c r="I8" s="24">
        <v>140719</v>
      </c>
      <c r="J8" s="24">
        <v>10161</v>
      </c>
      <c r="K8" s="24">
        <v>78722</v>
      </c>
    </row>
    <row r="9" spans="1:11">
      <c r="A9" s="23" t="s">
        <v>12</v>
      </c>
      <c r="B9" s="24" t="s">
        <v>362</v>
      </c>
      <c r="C9" s="24">
        <v>578</v>
      </c>
      <c r="D9" s="24" t="s">
        <v>369</v>
      </c>
      <c r="E9" s="24" t="s">
        <v>366</v>
      </c>
      <c r="F9" s="24">
        <v>109605</v>
      </c>
      <c r="G9" s="24">
        <v>9328</v>
      </c>
      <c r="H9" s="24">
        <v>52498</v>
      </c>
      <c r="I9" s="24">
        <v>117689</v>
      </c>
      <c r="J9" s="24">
        <v>9396</v>
      </c>
      <c r="K9" s="24">
        <v>56309</v>
      </c>
    </row>
    <row r="10" spans="1:11">
      <c r="A10" s="23" t="s">
        <v>12</v>
      </c>
      <c r="B10" s="24" t="s">
        <v>362</v>
      </c>
      <c r="C10" s="24">
        <v>578</v>
      </c>
      <c r="D10" s="24" t="s">
        <v>369</v>
      </c>
      <c r="E10" s="24" t="s">
        <v>367</v>
      </c>
      <c r="F10" s="24">
        <v>200031</v>
      </c>
      <c r="G10" s="24">
        <v>18254</v>
      </c>
      <c r="H10" s="24">
        <v>60268</v>
      </c>
      <c r="I10" s="24">
        <v>273262</v>
      </c>
      <c r="J10" s="24">
        <v>30363</v>
      </c>
      <c r="K10" s="24">
        <v>51993</v>
      </c>
    </row>
    <row r="11" spans="1:11">
      <c r="A11" s="23" t="s">
        <v>12</v>
      </c>
      <c r="B11" s="24" t="s">
        <v>362</v>
      </c>
      <c r="C11" s="24">
        <v>578</v>
      </c>
      <c r="D11" s="24" t="s">
        <v>369</v>
      </c>
      <c r="E11" s="24" t="s">
        <v>368</v>
      </c>
      <c r="F11" s="24">
        <v>159164</v>
      </c>
      <c r="G11" s="24">
        <v>12046</v>
      </c>
      <c r="H11" s="24">
        <v>57471</v>
      </c>
      <c r="I11" s="24">
        <v>152046</v>
      </c>
      <c r="J11" s="24">
        <v>14631</v>
      </c>
      <c r="K11" s="24">
        <v>43129</v>
      </c>
    </row>
    <row r="12" spans="1:11">
      <c r="A12" s="23" t="s">
        <v>15</v>
      </c>
      <c r="B12" s="24" t="s">
        <v>362</v>
      </c>
      <c r="C12" s="24">
        <v>659</v>
      </c>
      <c r="D12" s="24" t="s">
        <v>370</v>
      </c>
      <c r="E12" s="24" t="s">
        <v>364</v>
      </c>
      <c r="F12" s="24">
        <v>77544</v>
      </c>
      <c r="G12" s="24">
        <v>3548</v>
      </c>
      <c r="H12" s="24">
        <v>34076</v>
      </c>
      <c r="I12" s="24">
        <v>120827</v>
      </c>
      <c r="J12" s="24">
        <v>2963</v>
      </c>
      <c r="K12" s="24">
        <v>46341</v>
      </c>
    </row>
    <row r="13" spans="1:11">
      <c r="A13" s="23" t="s">
        <v>15</v>
      </c>
      <c r="B13" s="24" t="s">
        <v>362</v>
      </c>
      <c r="C13" s="24">
        <v>659</v>
      </c>
      <c r="D13" s="24" t="s">
        <v>370</v>
      </c>
      <c r="E13" s="24" t="s">
        <v>365</v>
      </c>
      <c r="F13" s="24">
        <v>125966</v>
      </c>
      <c r="G13" s="24">
        <v>6530</v>
      </c>
      <c r="H13" s="24">
        <v>54881</v>
      </c>
      <c r="I13" s="24">
        <v>101682</v>
      </c>
      <c r="J13" s="24">
        <v>7487</v>
      </c>
      <c r="K13" s="24">
        <v>53061</v>
      </c>
    </row>
    <row r="14" spans="1:11">
      <c r="A14" s="23" t="s">
        <v>15</v>
      </c>
      <c r="B14" s="24" t="s">
        <v>362</v>
      </c>
      <c r="C14" s="24">
        <v>659</v>
      </c>
      <c r="D14" s="24" t="s">
        <v>370</v>
      </c>
      <c r="E14" s="24" t="s">
        <v>366</v>
      </c>
      <c r="F14" s="24">
        <v>80762</v>
      </c>
      <c r="G14" s="24">
        <v>6874</v>
      </c>
      <c r="H14" s="24">
        <v>42254</v>
      </c>
      <c r="I14" s="24">
        <v>78918</v>
      </c>
      <c r="J14" s="24">
        <v>6889</v>
      </c>
      <c r="K14" s="24">
        <v>38412</v>
      </c>
    </row>
    <row r="15" spans="1:11">
      <c r="A15" s="23" t="s">
        <v>15</v>
      </c>
      <c r="B15" s="24" t="s">
        <v>362</v>
      </c>
      <c r="C15" s="24">
        <v>659</v>
      </c>
      <c r="D15" s="24" t="s">
        <v>370</v>
      </c>
      <c r="E15" s="24" t="s">
        <v>367</v>
      </c>
      <c r="F15" s="24">
        <v>107266</v>
      </c>
      <c r="G15" s="24">
        <v>10662</v>
      </c>
      <c r="H15" s="24">
        <v>36937</v>
      </c>
      <c r="I15" s="24">
        <v>111842</v>
      </c>
      <c r="J15" s="24">
        <v>9510</v>
      </c>
      <c r="K15" s="24">
        <v>30660</v>
      </c>
    </row>
    <row r="16" spans="1:11">
      <c r="A16" s="23" t="s">
        <v>15</v>
      </c>
      <c r="B16" s="24" t="s">
        <v>362</v>
      </c>
      <c r="C16" s="24">
        <v>659</v>
      </c>
      <c r="D16" s="24" t="s">
        <v>370</v>
      </c>
      <c r="E16" s="24" t="s">
        <v>368</v>
      </c>
      <c r="F16" s="24">
        <v>100749</v>
      </c>
      <c r="G16" s="24">
        <v>7387</v>
      </c>
      <c r="H16" s="24">
        <v>29596</v>
      </c>
      <c r="I16" s="24">
        <v>101675</v>
      </c>
      <c r="J16" s="24">
        <v>9895</v>
      </c>
      <c r="K16" s="24">
        <v>31808</v>
      </c>
    </row>
    <row r="17" spans="1:11">
      <c r="A17" s="23" t="s">
        <v>15</v>
      </c>
      <c r="B17" s="24" t="s">
        <v>362</v>
      </c>
      <c r="C17" s="24">
        <v>718</v>
      </c>
      <c r="D17" s="24" t="s">
        <v>371</v>
      </c>
      <c r="E17" s="24" t="s">
        <v>364</v>
      </c>
      <c r="F17" s="24">
        <v>64883</v>
      </c>
      <c r="G17" s="24">
        <v>3154</v>
      </c>
      <c r="H17" s="24">
        <v>27030</v>
      </c>
      <c r="I17" s="24">
        <v>77785</v>
      </c>
      <c r="J17" s="24">
        <v>2587</v>
      </c>
      <c r="K17" s="24">
        <v>26570</v>
      </c>
    </row>
    <row r="18" spans="1:11">
      <c r="A18" s="23" t="s">
        <v>15</v>
      </c>
      <c r="B18" s="24" t="s">
        <v>362</v>
      </c>
      <c r="C18" s="24">
        <v>718</v>
      </c>
      <c r="D18" s="24" t="s">
        <v>371</v>
      </c>
      <c r="E18" s="24" t="s">
        <v>365</v>
      </c>
      <c r="F18" s="24">
        <v>65925</v>
      </c>
      <c r="G18" s="24">
        <v>4935</v>
      </c>
      <c r="H18" s="24">
        <v>34675</v>
      </c>
      <c r="I18" s="24">
        <v>69993</v>
      </c>
      <c r="J18" s="24">
        <v>4867</v>
      </c>
      <c r="K18" s="24">
        <v>35377</v>
      </c>
    </row>
    <row r="19" spans="1:11">
      <c r="A19" s="23" t="s">
        <v>15</v>
      </c>
      <c r="B19" s="24" t="s">
        <v>362</v>
      </c>
      <c r="C19" s="24">
        <v>718</v>
      </c>
      <c r="D19" s="24" t="s">
        <v>371</v>
      </c>
      <c r="E19" s="24" t="s">
        <v>366</v>
      </c>
      <c r="F19" s="24">
        <v>69377</v>
      </c>
      <c r="G19" s="24">
        <v>6765</v>
      </c>
      <c r="H19" s="24">
        <v>26988</v>
      </c>
      <c r="I19" s="24">
        <v>55702</v>
      </c>
      <c r="J19" s="24">
        <v>4545</v>
      </c>
      <c r="K19" s="24">
        <v>25644</v>
      </c>
    </row>
    <row r="20" spans="1:11">
      <c r="A20" s="23" t="s">
        <v>15</v>
      </c>
      <c r="B20" s="24" t="s">
        <v>362</v>
      </c>
      <c r="C20" s="24">
        <v>718</v>
      </c>
      <c r="D20" s="24" t="s">
        <v>371</v>
      </c>
      <c r="E20" s="24" t="s">
        <v>367</v>
      </c>
      <c r="F20" s="24">
        <v>100203</v>
      </c>
      <c r="G20" s="24">
        <v>10811</v>
      </c>
      <c r="H20" s="24">
        <v>32410</v>
      </c>
      <c r="I20" s="24">
        <v>77584</v>
      </c>
      <c r="J20" s="24">
        <v>11247</v>
      </c>
      <c r="K20" s="24">
        <v>14313</v>
      </c>
    </row>
    <row r="21" spans="1:11">
      <c r="A21" s="23" t="s">
        <v>15</v>
      </c>
      <c r="B21" s="24" t="s">
        <v>362</v>
      </c>
      <c r="C21" s="24">
        <v>718</v>
      </c>
      <c r="D21" s="24" t="s">
        <v>371</v>
      </c>
      <c r="E21" s="24" t="s">
        <v>368</v>
      </c>
      <c r="F21" s="24">
        <v>82245</v>
      </c>
      <c r="G21" s="24">
        <v>8592</v>
      </c>
      <c r="H21" s="24">
        <v>23322</v>
      </c>
      <c r="I21" s="24">
        <v>65735</v>
      </c>
      <c r="J21" s="24">
        <v>6087</v>
      </c>
      <c r="K21" s="24">
        <v>22135</v>
      </c>
    </row>
    <row r="22" spans="1:11">
      <c r="A22" s="23" t="s">
        <v>372</v>
      </c>
      <c r="B22" s="24" t="s">
        <v>362</v>
      </c>
      <c r="C22" s="24">
        <v>737</v>
      </c>
      <c r="D22" s="24" t="s">
        <v>373</v>
      </c>
      <c r="E22" s="24" t="s">
        <v>364</v>
      </c>
      <c r="F22" s="24">
        <v>104871</v>
      </c>
      <c r="G22" s="24">
        <v>3324</v>
      </c>
      <c r="H22" s="24">
        <v>39515</v>
      </c>
      <c r="I22" s="24">
        <v>110942</v>
      </c>
      <c r="J22" s="24">
        <v>3694</v>
      </c>
      <c r="K22" s="24">
        <v>42600</v>
      </c>
    </row>
    <row r="23" spans="1:11">
      <c r="A23" s="23" t="s">
        <v>372</v>
      </c>
      <c r="B23" s="24" t="s">
        <v>362</v>
      </c>
      <c r="C23" s="24">
        <v>737</v>
      </c>
      <c r="D23" s="24" t="s">
        <v>373</v>
      </c>
      <c r="E23" s="24" t="s">
        <v>365</v>
      </c>
      <c r="F23" s="24">
        <v>104066</v>
      </c>
      <c r="G23" s="24">
        <v>5993</v>
      </c>
      <c r="H23" s="24">
        <v>51602</v>
      </c>
      <c r="I23" s="24">
        <v>108205</v>
      </c>
      <c r="J23" s="24">
        <v>6635</v>
      </c>
      <c r="K23" s="24">
        <v>51255</v>
      </c>
    </row>
    <row r="24" spans="1:11">
      <c r="A24" s="23" t="s">
        <v>372</v>
      </c>
      <c r="B24" s="24" t="s">
        <v>362</v>
      </c>
      <c r="C24" s="24">
        <v>737</v>
      </c>
      <c r="D24" s="24" t="s">
        <v>373</v>
      </c>
      <c r="E24" s="24" t="s">
        <v>366</v>
      </c>
      <c r="F24" s="24">
        <v>93229</v>
      </c>
      <c r="G24" s="24">
        <v>6576</v>
      </c>
      <c r="H24" s="24">
        <v>41436</v>
      </c>
      <c r="I24" s="24">
        <v>104987</v>
      </c>
      <c r="J24" s="24">
        <v>7103</v>
      </c>
      <c r="K24" s="24">
        <v>41886</v>
      </c>
    </row>
    <row r="25" spans="1:11">
      <c r="A25" s="23" t="s">
        <v>372</v>
      </c>
      <c r="B25" s="24" t="s">
        <v>362</v>
      </c>
      <c r="C25" s="24">
        <v>737</v>
      </c>
      <c r="D25" s="24" t="s">
        <v>373</v>
      </c>
      <c r="E25" s="24" t="s">
        <v>367</v>
      </c>
      <c r="F25" s="24">
        <v>207819</v>
      </c>
      <c r="G25" s="24">
        <v>15213</v>
      </c>
      <c r="H25" s="24">
        <v>55977</v>
      </c>
      <c r="I25" s="24">
        <v>207324</v>
      </c>
      <c r="J25" s="24">
        <v>17766</v>
      </c>
      <c r="K25" s="24">
        <v>42438</v>
      </c>
    </row>
    <row r="26" spans="1:11">
      <c r="A26" s="23" t="s">
        <v>372</v>
      </c>
      <c r="B26" s="24" t="s">
        <v>362</v>
      </c>
      <c r="C26" s="24">
        <v>737</v>
      </c>
      <c r="D26" s="24" t="s">
        <v>373</v>
      </c>
      <c r="E26" s="24" t="s">
        <v>368</v>
      </c>
      <c r="F26" s="24">
        <v>127667</v>
      </c>
      <c r="G26" s="24">
        <v>9243</v>
      </c>
      <c r="H26" s="24">
        <v>41257</v>
      </c>
      <c r="I26" s="24">
        <v>115065</v>
      </c>
      <c r="J26" s="24">
        <v>15836</v>
      </c>
      <c r="K26" s="24">
        <v>40540</v>
      </c>
    </row>
    <row r="27" spans="1:11">
      <c r="A27" s="23" t="s">
        <v>21</v>
      </c>
      <c r="B27" s="24" t="s">
        <v>374</v>
      </c>
      <c r="C27" s="24">
        <v>548</v>
      </c>
      <c r="D27" s="24" t="s">
        <v>363</v>
      </c>
      <c r="E27" s="24" t="s">
        <v>364</v>
      </c>
      <c r="F27" s="24">
        <v>80527</v>
      </c>
      <c r="G27" s="24">
        <v>4348</v>
      </c>
      <c r="H27" s="24">
        <v>30106</v>
      </c>
      <c r="I27" s="24">
        <v>107613</v>
      </c>
      <c r="J27" s="24">
        <v>3254</v>
      </c>
      <c r="K27" s="24">
        <v>41998</v>
      </c>
    </row>
    <row r="28" spans="1:11">
      <c r="A28" s="23" t="s">
        <v>21</v>
      </c>
      <c r="B28" s="24" t="s">
        <v>374</v>
      </c>
      <c r="C28" s="24">
        <v>548</v>
      </c>
      <c r="D28" s="24" t="s">
        <v>363</v>
      </c>
      <c r="E28" s="24" t="s">
        <v>365</v>
      </c>
      <c r="F28" s="24">
        <v>86411</v>
      </c>
      <c r="G28" s="24">
        <v>7104</v>
      </c>
      <c r="H28" s="24">
        <v>50139</v>
      </c>
      <c r="I28" s="24">
        <v>102945</v>
      </c>
      <c r="J28" s="24">
        <v>7422</v>
      </c>
      <c r="K28" s="24">
        <v>56359</v>
      </c>
    </row>
    <row r="29" spans="1:11">
      <c r="A29" s="23" t="s">
        <v>21</v>
      </c>
      <c r="B29" s="24" t="s">
        <v>374</v>
      </c>
      <c r="C29" s="24">
        <v>548</v>
      </c>
      <c r="D29" s="24" t="s">
        <v>363</v>
      </c>
      <c r="E29" s="24" t="s">
        <v>366</v>
      </c>
      <c r="F29" s="24">
        <v>83903</v>
      </c>
      <c r="G29" s="24">
        <v>7174</v>
      </c>
      <c r="H29" s="24">
        <v>37709</v>
      </c>
      <c r="I29" s="24">
        <v>89272</v>
      </c>
      <c r="J29" s="24">
        <v>8341</v>
      </c>
      <c r="K29" s="24">
        <v>40919</v>
      </c>
    </row>
    <row r="30" spans="1:11">
      <c r="A30" s="23" t="s">
        <v>21</v>
      </c>
      <c r="B30" s="24" t="s">
        <v>374</v>
      </c>
      <c r="C30" s="24">
        <v>548</v>
      </c>
      <c r="D30" s="24" t="s">
        <v>363</v>
      </c>
      <c r="E30" s="24" t="s">
        <v>367</v>
      </c>
      <c r="F30" s="24">
        <v>236226</v>
      </c>
      <c r="G30" s="24">
        <v>22049</v>
      </c>
      <c r="H30" s="24">
        <v>64862</v>
      </c>
      <c r="I30" s="24">
        <v>204404</v>
      </c>
      <c r="J30" s="24">
        <v>18986</v>
      </c>
      <c r="K30" s="24">
        <v>43602</v>
      </c>
    </row>
    <row r="31" spans="1:11">
      <c r="A31" s="23" t="s">
        <v>21</v>
      </c>
      <c r="B31" s="24" t="s">
        <v>374</v>
      </c>
      <c r="C31" s="24">
        <v>548</v>
      </c>
      <c r="D31" s="24" t="s">
        <v>363</v>
      </c>
      <c r="E31" s="24" t="s">
        <v>368</v>
      </c>
      <c r="F31" s="24">
        <v>166176</v>
      </c>
      <c r="G31" s="24">
        <v>11530</v>
      </c>
      <c r="H31" s="24">
        <v>58204</v>
      </c>
      <c r="I31" s="24">
        <v>124016</v>
      </c>
      <c r="J31" s="24">
        <v>10788</v>
      </c>
      <c r="K31" s="24">
        <v>46683</v>
      </c>
    </row>
    <row r="32" spans="1:11">
      <c r="A32" s="23" t="s">
        <v>12</v>
      </c>
      <c r="B32" s="24" t="s">
        <v>374</v>
      </c>
      <c r="C32" s="24">
        <v>578</v>
      </c>
      <c r="D32" s="24" t="s">
        <v>369</v>
      </c>
      <c r="E32" s="24" t="s">
        <v>364</v>
      </c>
      <c r="F32" s="24">
        <v>144465</v>
      </c>
      <c r="G32" s="24">
        <v>5538</v>
      </c>
      <c r="H32" s="24">
        <v>50630</v>
      </c>
      <c r="I32" s="24">
        <v>128402</v>
      </c>
      <c r="J32" s="24">
        <v>11076</v>
      </c>
      <c r="K32" s="24">
        <v>50429</v>
      </c>
    </row>
    <row r="33" spans="1:11">
      <c r="A33" s="23" t="s">
        <v>12</v>
      </c>
      <c r="B33" s="24" t="s">
        <v>374</v>
      </c>
      <c r="C33" s="24">
        <v>578</v>
      </c>
      <c r="D33" s="24" t="s">
        <v>369</v>
      </c>
      <c r="E33" s="24" t="s">
        <v>365</v>
      </c>
      <c r="F33" s="24">
        <v>139461</v>
      </c>
      <c r="G33" s="24">
        <v>14115</v>
      </c>
      <c r="H33" s="24">
        <v>68268</v>
      </c>
      <c r="I33" s="24">
        <v>129486</v>
      </c>
      <c r="J33" s="24">
        <v>9798</v>
      </c>
      <c r="K33" s="24">
        <v>71142</v>
      </c>
    </row>
    <row r="34" spans="1:11">
      <c r="A34" s="23" t="s">
        <v>12</v>
      </c>
      <c r="B34" s="24" t="s">
        <v>374</v>
      </c>
      <c r="C34" s="24">
        <v>578</v>
      </c>
      <c r="D34" s="24" t="s">
        <v>369</v>
      </c>
      <c r="E34" s="24" t="s">
        <v>366</v>
      </c>
      <c r="F34" s="24">
        <v>107438</v>
      </c>
      <c r="G34" s="24">
        <v>9788</v>
      </c>
      <c r="H34" s="24">
        <v>52613</v>
      </c>
      <c r="I34" s="24">
        <v>108970</v>
      </c>
      <c r="J34" s="24">
        <v>10033</v>
      </c>
      <c r="K34" s="24">
        <v>51485</v>
      </c>
    </row>
    <row r="35" spans="1:11">
      <c r="A35" s="23" t="s">
        <v>12</v>
      </c>
      <c r="B35" s="24" t="s">
        <v>374</v>
      </c>
      <c r="C35" s="24">
        <v>578</v>
      </c>
      <c r="D35" s="24" t="s">
        <v>369</v>
      </c>
      <c r="E35" s="24" t="s">
        <v>367</v>
      </c>
      <c r="F35" s="24">
        <v>216485</v>
      </c>
      <c r="G35" s="24">
        <v>18858</v>
      </c>
      <c r="H35" s="24">
        <v>55523</v>
      </c>
      <c r="I35" s="24">
        <v>170010</v>
      </c>
      <c r="J35" s="24">
        <v>16354</v>
      </c>
      <c r="K35" s="24">
        <v>44962</v>
      </c>
    </row>
    <row r="36" spans="1:11">
      <c r="A36" s="23" t="s">
        <v>12</v>
      </c>
      <c r="B36" s="24" t="s">
        <v>374</v>
      </c>
      <c r="C36" s="24">
        <v>578</v>
      </c>
      <c r="D36" s="24" t="s">
        <v>369</v>
      </c>
      <c r="E36" s="24" t="s">
        <v>368</v>
      </c>
      <c r="F36" s="24">
        <v>231407</v>
      </c>
      <c r="G36" s="24">
        <v>15741</v>
      </c>
      <c r="H36" s="24">
        <v>68268</v>
      </c>
      <c r="I36" s="24">
        <v>189613</v>
      </c>
      <c r="J36" s="24">
        <v>14058</v>
      </c>
      <c r="K36" s="24">
        <v>55834</v>
      </c>
    </row>
    <row r="37" spans="1:11">
      <c r="A37" s="23" t="s">
        <v>15</v>
      </c>
      <c r="B37" s="24" t="s">
        <v>374</v>
      </c>
      <c r="C37" s="24">
        <v>659</v>
      </c>
      <c r="D37" s="24" t="s">
        <v>370</v>
      </c>
      <c r="E37" s="24" t="s">
        <v>364</v>
      </c>
      <c r="F37" s="24">
        <v>96067</v>
      </c>
      <c r="G37" s="24">
        <v>3979</v>
      </c>
      <c r="H37" s="24">
        <v>36113</v>
      </c>
      <c r="I37" s="24">
        <v>94280</v>
      </c>
      <c r="J37" s="24">
        <v>3380</v>
      </c>
      <c r="K37" s="24">
        <v>37816</v>
      </c>
    </row>
    <row r="38" spans="1:11">
      <c r="A38" s="23" t="s">
        <v>15</v>
      </c>
      <c r="B38" s="24" t="s">
        <v>374</v>
      </c>
      <c r="C38" s="24">
        <v>659</v>
      </c>
      <c r="D38" s="24" t="s">
        <v>370</v>
      </c>
      <c r="E38" s="24" t="s">
        <v>365</v>
      </c>
      <c r="F38" s="24">
        <v>93649</v>
      </c>
      <c r="G38" s="24">
        <v>6406</v>
      </c>
      <c r="H38" s="24">
        <v>47960</v>
      </c>
      <c r="I38" s="24">
        <v>90063</v>
      </c>
      <c r="J38" s="24">
        <v>6783</v>
      </c>
      <c r="K38" s="24">
        <v>48699</v>
      </c>
    </row>
    <row r="39" spans="1:11">
      <c r="A39" s="23" t="s">
        <v>15</v>
      </c>
      <c r="B39" s="24" t="s">
        <v>374</v>
      </c>
      <c r="C39" s="24">
        <v>659</v>
      </c>
      <c r="D39" s="24" t="s">
        <v>370</v>
      </c>
      <c r="E39" s="24" t="s">
        <v>366</v>
      </c>
      <c r="F39" s="24">
        <v>75204</v>
      </c>
      <c r="G39" s="24">
        <v>6217</v>
      </c>
      <c r="H39" s="24">
        <v>35886</v>
      </c>
      <c r="I39" s="24">
        <v>69047</v>
      </c>
      <c r="J39" s="24">
        <v>5513</v>
      </c>
      <c r="K39" s="24">
        <v>31353</v>
      </c>
    </row>
    <row r="40" spans="1:11">
      <c r="A40" s="23" t="s">
        <v>15</v>
      </c>
      <c r="B40" s="24" t="s">
        <v>374</v>
      </c>
      <c r="C40" s="24">
        <v>659</v>
      </c>
      <c r="D40" s="24" t="s">
        <v>370</v>
      </c>
      <c r="E40" s="24" t="s">
        <v>367</v>
      </c>
      <c r="F40" s="24">
        <v>103348</v>
      </c>
      <c r="G40" s="24">
        <v>12025</v>
      </c>
      <c r="H40" s="24">
        <v>32362</v>
      </c>
      <c r="I40" s="24">
        <v>131781</v>
      </c>
      <c r="J40" s="24">
        <v>10683</v>
      </c>
      <c r="K40" s="24">
        <v>33972</v>
      </c>
    </row>
    <row r="41" spans="1:11">
      <c r="A41" s="23" t="s">
        <v>15</v>
      </c>
      <c r="B41" s="24" t="s">
        <v>374</v>
      </c>
      <c r="C41" s="24">
        <v>659</v>
      </c>
      <c r="D41" s="24" t="s">
        <v>370</v>
      </c>
      <c r="E41" s="24" t="s">
        <v>368</v>
      </c>
      <c r="F41" s="24">
        <v>154100</v>
      </c>
      <c r="G41" s="24">
        <v>10402</v>
      </c>
      <c r="H41" s="24">
        <v>39690</v>
      </c>
      <c r="I41" s="24">
        <v>109833</v>
      </c>
      <c r="J41" s="24">
        <v>8982</v>
      </c>
      <c r="K41" s="24">
        <v>33648</v>
      </c>
    </row>
    <row r="42" spans="1:11">
      <c r="A42" s="23" t="s">
        <v>15</v>
      </c>
      <c r="B42" s="24" t="s">
        <v>374</v>
      </c>
      <c r="C42" s="24">
        <v>718</v>
      </c>
      <c r="D42" s="24" t="s">
        <v>371</v>
      </c>
      <c r="E42" s="24" t="s">
        <v>364</v>
      </c>
      <c r="F42" s="24">
        <v>69382</v>
      </c>
      <c r="G42" s="24">
        <v>2590</v>
      </c>
      <c r="H42" s="24">
        <v>16160</v>
      </c>
      <c r="I42" s="24">
        <v>247634</v>
      </c>
      <c r="J42" s="24">
        <v>2926</v>
      </c>
      <c r="K42" s="24">
        <v>105544</v>
      </c>
    </row>
    <row r="43" spans="1:11">
      <c r="A43" s="23" t="s">
        <v>15</v>
      </c>
      <c r="B43" s="24" t="s">
        <v>374</v>
      </c>
      <c r="C43" s="24">
        <v>718</v>
      </c>
      <c r="D43" s="24" t="s">
        <v>371</v>
      </c>
      <c r="E43" s="24" t="s">
        <v>365</v>
      </c>
      <c r="F43" s="24">
        <v>71475</v>
      </c>
      <c r="G43" s="24">
        <v>6017</v>
      </c>
      <c r="H43" s="24">
        <v>38625</v>
      </c>
      <c r="I43" s="24">
        <v>70032</v>
      </c>
      <c r="J43" s="24">
        <v>5818</v>
      </c>
      <c r="K43" s="24">
        <v>40027</v>
      </c>
    </row>
    <row r="44" spans="1:11">
      <c r="A44" s="23" t="s">
        <v>15</v>
      </c>
      <c r="B44" s="24" t="s">
        <v>374</v>
      </c>
      <c r="C44" s="24">
        <v>718</v>
      </c>
      <c r="D44" s="24" t="s">
        <v>371</v>
      </c>
      <c r="E44" s="24" t="s">
        <v>366</v>
      </c>
      <c r="F44" s="24">
        <v>67269</v>
      </c>
      <c r="G44" s="24">
        <v>5377</v>
      </c>
      <c r="H44" s="24">
        <v>30825</v>
      </c>
      <c r="I44" s="24">
        <v>54715</v>
      </c>
      <c r="J44" s="24">
        <v>4680</v>
      </c>
      <c r="K44" s="24">
        <v>24876</v>
      </c>
    </row>
    <row r="45" spans="1:11">
      <c r="A45" s="23" t="s">
        <v>15</v>
      </c>
      <c r="B45" s="24" t="s">
        <v>374</v>
      </c>
      <c r="C45" s="24">
        <v>718</v>
      </c>
      <c r="D45" s="24" t="s">
        <v>371</v>
      </c>
      <c r="E45" s="24" t="s">
        <v>367</v>
      </c>
      <c r="F45" s="24">
        <v>136621</v>
      </c>
      <c r="G45" s="24">
        <v>13572</v>
      </c>
      <c r="H45" s="24">
        <v>34875</v>
      </c>
      <c r="I45" s="24">
        <v>122383</v>
      </c>
      <c r="J45" s="24">
        <v>11196</v>
      </c>
      <c r="K45" s="24">
        <v>33133</v>
      </c>
    </row>
    <row r="46" spans="1:11">
      <c r="A46" s="23" t="s">
        <v>15</v>
      </c>
      <c r="B46" s="24" t="s">
        <v>374</v>
      </c>
      <c r="C46" s="24">
        <v>718</v>
      </c>
      <c r="D46" s="24" t="s">
        <v>371</v>
      </c>
      <c r="E46" s="24" t="s">
        <v>368</v>
      </c>
      <c r="F46" s="24">
        <v>100503</v>
      </c>
      <c r="G46" s="24">
        <v>7393</v>
      </c>
      <c r="H46" s="24">
        <v>29518</v>
      </c>
      <c r="I46" s="24">
        <v>69533</v>
      </c>
      <c r="J46" s="24">
        <v>7667</v>
      </c>
      <c r="K46" s="24">
        <v>24093</v>
      </c>
    </row>
    <row r="47" spans="1:11">
      <c r="A47" s="23" t="s">
        <v>372</v>
      </c>
      <c r="B47" s="24" t="s">
        <v>374</v>
      </c>
      <c r="C47" s="24">
        <v>737</v>
      </c>
      <c r="D47" s="24" t="s">
        <v>373</v>
      </c>
      <c r="E47" s="24" t="s">
        <v>364</v>
      </c>
      <c r="F47" s="24">
        <v>150930</v>
      </c>
      <c r="G47" s="24">
        <v>3853</v>
      </c>
      <c r="H47" s="24">
        <v>48885</v>
      </c>
      <c r="I47" s="24">
        <v>138296</v>
      </c>
      <c r="J47" s="24">
        <v>3879</v>
      </c>
      <c r="K47" s="24">
        <v>43634</v>
      </c>
    </row>
    <row r="48" spans="1:11">
      <c r="A48" s="23" t="s">
        <v>372</v>
      </c>
      <c r="B48" s="24" t="s">
        <v>374</v>
      </c>
      <c r="C48" s="24">
        <v>737</v>
      </c>
      <c r="D48" s="24" t="s">
        <v>373</v>
      </c>
      <c r="E48" s="24" t="s">
        <v>365</v>
      </c>
      <c r="F48" s="24">
        <v>103531</v>
      </c>
      <c r="G48" s="24">
        <v>6982</v>
      </c>
      <c r="H48" s="24">
        <v>59585</v>
      </c>
      <c r="I48" s="24">
        <v>120823</v>
      </c>
      <c r="J48" s="24">
        <v>7366</v>
      </c>
      <c r="K48" s="24">
        <v>51791</v>
      </c>
    </row>
    <row r="49" spans="1:11">
      <c r="A49" s="23" t="s">
        <v>372</v>
      </c>
      <c r="B49" s="24" t="s">
        <v>374</v>
      </c>
      <c r="C49" s="24">
        <v>737</v>
      </c>
      <c r="D49" s="24" t="s">
        <v>373</v>
      </c>
      <c r="E49" s="24" t="s">
        <v>366</v>
      </c>
      <c r="F49" s="24">
        <v>90973</v>
      </c>
      <c r="G49" s="24">
        <v>6979</v>
      </c>
      <c r="H49" s="24">
        <v>43950</v>
      </c>
      <c r="I49" s="24">
        <v>88461</v>
      </c>
      <c r="J49" s="24">
        <v>8359</v>
      </c>
      <c r="K49" s="24">
        <v>36154</v>
      </c>
    </row>
    <row r="50" spans="1:11">
      <c r="A50" s="23" t="s">
        <v>372</v>
      </c>
      <c r="B50" s="24" t="s">
        <v>374</v>
      </c>
      <c r="C50" s="24">
        <v>737</v>
      </c>
      <c r="D50" s="24" t="s">
        <v>373</v>
      </c>
      <c r="E50" s="24" t="s">
        <v>367</v>
      </c>
      <c r="F50" s="24">
        <v>228028</v>
      </c>
      <c r="G50" s="24">
        <v>15305</v>
      </c>
      <c r="H50" s="24">
        <v>65786</v>
      </c>
      <c r="I50" s="24">
        <v>176048</v>
      </c>
      <c r="J50" s="24">
        <v>16078</v>
      </c>
      <c r="K50" s="24">
        <v>47446</v>
      </c>
    </row>
    <row r="51" spans="1:11">
      <c r="A51" s="23" t="s">
        <v>372</v>
      </c>
      <c r="B51" s="24" t="s">
        <v>374</v>
      </c>
      <c r="C51" s="24">
        <v>737</v>
      </c>
      <c r="D51" s="24" t="s">
        <v>373</v>
      </c>
      <c r="E51" s="24" t="s">
        <v>368</v>
      </c>
      <c r="F51" s="24">
        <v>105319</v>
      </c>
      <c r="G51" s="24">
        <v>9659</v>
      </c>
      <c r="H51" s="24">
        <v>37968</v>
      </c>
      <c r="I51" s="24">
        <v>115581</v>
      </c>
      <c r="J51" s="24">
        <v>10980</v>
      </c>
      <c r="K51" s="24">
        <v>36992</v>
      </c>
    </row>
    <row r="52" spans="1:11">
      <c r="A52" s="23" t="s">
        <v>21</v>
      </c>
      <c r="B52" s="24" t="s">
        <v>375</v>
      </c>
      <c r="C52" s="24">
        <v>548</v>
      </c>
      <c r="D52" s="24" t="s">
        <v>363</v>
      </c>
      <c r="E52" s="24" t="s">
        <v>364</v>
      </c>
      <c r="F52" s="24">
        <v>88716</v>
      </c>
      <c r="G52" s="24">
        <v>4299</v>
      </c>
      <c r="H52" s="24">
        <v>33734</v>
      </c>
      <c r="I52" s="24">
        <v>82746</v>
      </c>
      <c r="J52" s="24">
        <v>3154</v>
      </c>
      <c r="K52" s="24">
        <v>33803</v>
      </c>
    </row>
    <row r="53" spans="1:11">
      <c r="A53" s="23" t="s">
        <v>21</v>
      </c>
      <c r="B53" s="24" t="s">
        <v>375</v>
      </c>
      <c r="C53" s="24">
        <v>548</v>
      </c>
      <c r="D53" s="24" t="s">
        <v>363</v>
      </c>
      <c r="E53" s="24" t="s">
        <v>365</v>
      </c>
      <c r="F53" s="24">
        <v>89432</v>
      </c>
      <c r="G53" s="24">
        <v>6322</v>
      </c>
      <c r="H53" s="24">
        <v>48007</v>
      </c>
      <c r="I53" s="24">
        <v>90815</v>
      </c>
      <c r="J53" s="24">
        <v>6691</v>
      </c>
      <c r="K53" s="24">
        <v>48939</v>
      </c>
    </row>
    <row r="54" spans="1:11">
      <c r="A54" s="23" t="s">
        <v>21</v>
      </c>
      <c r="B54" s="24" t="s">
        <v>375</v>
      </c>
      <c r="C54" s="24">
        <v>548</v>
      </c>
      <c r="D54" s="24" t="s">
        <v>363</v>
      </c>
      <c r="E54" s="24" t="s">
        <v>366</v>
      </c>
      <c r="F54" s="24">
        <v>94875</v>
      </c>
      <c r="G54" s="24">
        <v>8030</v>
      </c>
      <c r="H54" s="24">
        <v>40417</v>
      </c>
      <c r="I54" s="24">
        <v>91211</v>
      </c>
      <c r="J54" s="24">
        <v>9626</v>
      </c>
      <c r="K54" s="24">
        <v>41436</v>
      </c>
    </row>
    <row r="55" spans="1:11">
      <c r="A55" s="23" t="s">
        <v>21</v>
      </c>
      <c r="B55" s="24" t="s">
        <v>375</v>
      </c>
      <c r="C55" s="24">
        <v>548</v>
      </c>
      <c r="D55" s="24" t="s">
        <v>363</v>
      </c>
      <c r="E55" s="24" t="s">
        <v>367</v>
      </c>
      <c r="F55" s="24">
        <v>201429</v>
      </c>
      <c r="G55" s="24">
        <v>20365</v>
      </c>
      <c r="H55" s="24">
        <v>57284</v>
      </c>
      <c r="I55" s="24">
        <v>220180</v>
      </c>
      <c r="J55" s="24">
        <v>20028</v>
      </c>
      <c r="K55" s="24">
        <v>44020</v>
      </c>
    </row>
    <row r="56" spans="1:11">
      <c r="A56" s="23" t="s">
        <v>21</v>
      </c>
      <c r="B56" s="24" t="s">
        <v>375</v>
      </c>
      <c r="C56" s="24">
        <v>548</v>
      </c>
      <c r="D56" s="24" t="s">
        <v>363</v>
      </c>
      <c r="E56" s="24" t="s">
        <v>368</v>
      </c>
      <c r="F56" s="24">
        <v>122535</v>
      </c>
      <c r="G56" s="24">
        <v>10700</v>
      </c>
      <c r="H56" s="24">
        <v>45222</v>
      </c>
      <c r="I56" s="24">
        <v>135140</v>
      </c>
      <c r="J56" s="24">
        <v>13779</v>
      </c>
      <c r="K56" s="24">
        <v>47854</v>
      </c>
    </row>
    <row r="57" spans="1:11">
      <c r="A57" s="23" t="s">
        <v>12</v>
      </c>
      <c r="B57" s="24" t="s">
        <v>375</v>
      </c>
      <c r="C57" s="24">
        <v>578</v>
      </c>
      <c r="D57" s="24" t="s">
        <v>369</v>
      </c>
      <c r="E57" s="24" t="s">
        <v>364</v>
      </c>
      <c r="F57" s="24">
        <v>133145</v>
      </c>
      <c r="G57" s="24">
        <v>5136</v>
      </c>
      <c r="H57" s="24">
        <v>52230</v>
      </c>
      <c r="I57" s="24">
        <v>143459</v>
      </c>
      <c r="J57" s="24">
        <v>5483</v>
      </c>
      <c r="K57" s="24">
        <v>52841</v>
      </c>
    </row>
    <row r="58" spans="1:11">
      <c r="A58" s="23" t="s">
        <v>12</v>
      </c>
      <c r="B58" s="24" t="s">
        <v>375</v>
      </c>
      <c r="C58" s="24">
        <v>578</v>
      </c>
      <c r="D58" s="24" t="s">
        <v>369</v>
      </c>
      <c r="E58" s="24" t="s">
        <v>365</v>
      </c>
      <c r="F58" s="24">
        <v>125150</v>
      </c>
      <c r="G58" s="24">
        <v>8561</v>
      </c>
      <c r="H58" s="24">
        <v>67630</v>
      </c>
      <c r="I58" s="24">
        <v>144422</v>
      </c>
      <c r="J58" s="24">
        <v>9904</v>
      </c>
      <c r="K58" s="24">
        <v>76161</v>
      </c>
    </row>
    <row r="59" spans="1:11">
      <c r="A59" s="23" t="s">
        <v>12</v>
      </c>
      <c r="B59" s="24" t="s">
        <v>375</v>
      </c>
      <c r="C59" s="24">
        <v>578</v>
      </c>
      <c r="D59" s="24" t="s">
        <v>369</v>
      </c>
      <c r="E59" s="24" t="s">
        <v>366</v>
      </c>
      <c r="F59" s="24">
        <v>92176</v>
      </c>
      <c r="G59" s="24">
        <v>8362</v>
      </c>
      <c r="H59" s="24">
        <v>44251</v>
      </c>
      <c r="I59" s="24">
        <v>103235</v>
      </c>
      <c r="J59" s="24">
        <v>8980</v>
      </c>
      <c r="K59" s="24">
        <v>45826</v>
      </c>
    </row>
    <row r="60" spans="1:11">
      <c r="A60" s="23" t="s">
        <v>12</v>
      </c>
      <c r="B60" s="24" t="s">
        <v>375</v>
      </c>
      <c r="C60" s="24">
        <v>578</v>
      </c>
      <c r="D60" s="24" t="s">
        <v>369</v>
      </c>
      <c r="E60" s="24" t="s">
        <v>367</v>
      </c>
      <c r="F60" s="24">
        <v>206697</v>
      </c>
      <c r="G60" s="24">
        <v>23587</v>
      </c>
      <c r="H60" s="24">
        <v>61084</v>
      </c>
      <c r="I60" s="24">
        <v>186193</v>
      </c>
      <c r="J60" s="24">
        <v>18249</v>
      </c>
      <c r="K60" s="24">
        <v>46508</v>
      </c>
    </row>
    <row r="61" spans="1:11">
      <c r="A61" s="23" t="s">
        <v>12</v>
      </c>
      <c r="B61" s="24" t="s">
        <v>375</v>
      </c>
      <c r="C61" s="24">
        <v>578</v>
      </c>
      <c r="D61" s="24" t="s">
        <v>369</v>
      </c>
      <c r="E61" s="24" t="s">
        <v>368</v>
      </c>
      <c r="F61" s="24">
        <v>196634</v>
      </c>
      <c r="G61" s="24">
        <v>14320</v>
      </c>
      <c r="H61" s="24">
        <v>56669</v>
      </c>
      <c r="I61" s="24">
        <v>148404</v>
      </c>
      <c r="J61" s="24">
        <v>11838</v>
      </c>
      <c r="K61" s="24">
        <v>52021</v>
      </c>
    </row>
    <row r="62" spans="1:11">
      <c r="A62" s="23" t="s">
        <v>15</v>
      </c>
      <c r="B62" s="24" t="s">
        <v>375</v>
      </c>
      <c r="C62" s="24">
        <v>659</v>
      </c>
      <c r="D62" s="24" t="s">
        <v>370</v>
      </c>
      <c r="E62" s="24" t="s">
        <v>364</v>
      </c>
      <c r="F62" s="24">
        <v>81725</v>
      </c>
      <c r="G62" s="24">
        <v>3422</v>
      </c>
      <c r="H62" s="24">
        <v>33815</v>
      </c>
      <c r="I62" s="24">
        <v>96510</v>
      </c>
      <c r="J62" s="24">
        <v>3634</v>
      </c>
      <c r="K62" s="24">
        <v>40050</v>
      </c>
    </row>
    <row r="63" spans="1:11">
      <c r="A63" s="23" t="s">
        <v>15</v>
      </c>
      <c r="B63" s="24" t="s">
        <v>375</v>
      </c>
      <c r="C63" s="24">
        <v>659</v>
      </c>
      <c r="D63" s="24" t="s">
        <v>370</v>
      </c>
      <c r="E63" s="24" t="s">
        <v>365</v>
      </c>
      <c r="F63" s="24">
        <v>91188</v>
      </c>
      <c r="G63" s="24">
        <v>6412</v>
      </c>
      <c r="H63" s="24">
        <v>48797</v>
      </c>
      <c r="I63" s="24">
        <v>86575</v>
      </c>
      <c r="J63" s="24">
        <v>6640</v>
      </c>
      <c r="K63" s="24">
        <v>48658</v>
      </c>
    </row>
    <row r="64" spans="1:11">
      <c r="A64" s="23" t="s">
        <v>15</v>
      </c>
      <c r="B64" s="24" t="s">
        <v>375</v>
      </c>
      <c r="C64" s="24">
        <v>659</v>
      </c>
      <c r="D64" s="24" t="s">
        <v>370</v>
      </c>
      <c r="E64" s="24" t="s">
        <v>366</v>
      </c>
      <c r="F64" s="24">
        <v>84487</v>
      </c>
      <c r="G64" s="24">
        <v>7269</v>
      </c>
      <c r="H64" s="24">
        <v>32780</v>
      </c>
      <c r="I64" s="24">
        <v>70150</v>
      </c>
      <c r="J64" s="24">
        <v>6704</v>
      </c>
      <c r="K64" s="24">
        <v>33407</v>
      </c>
    </row>
    <row r="65" spans="1:11">
      <c r="A65" s="23" t="s">
        <v>15</v>
      </c>
      <c r="B65" s="24" t="s">
        <v>375</v>
      </c>
      <c r="C65" s="24">
        <v>659</v>
      </c>
      <c r="D65" s="24" t="s">
        <v>370</v>
      </c>
      <c r="E65" s="24" t="s">
        <v>367</v>
      </c>
      <c r="F65" s="24">
        <v>148973</v>
      </c>
      <c r="G65" s="24">
        <v>13399</v>
      </c>
      <c r="H65" s="24">
        <v>32254</v>
      </c>
      <c r="I65" s="24">
        <v>103161</v>
      </c>
      <c r="J65" s="24">
        <v>9823</v>
      </c>
      <c r="K65" s="24">
        <v>24231</v>
      </c>
    </row>
    <row r="66" spans="1:11">
      <c r="A66" s="23" t="s">
        <v>15</v>
      </c>
      <c r="B66" s="24" t="s">
        <v>375</v>
      </c>
      <c r="C66" s="24">
        <v>659</v>
      </c>
      <c r="D66" s="24" t="s">
        <v>370</v>
      </c>
      <c r="E66" s="24" t="s">
        <v>368</v>
      </c>
      <c r="F66" s="24">
        <v>130002</v>
      </c>
      <c r="G66" s="24">
        <v>11780</v>
      </c>
      <c r="H66" s="24">
        <v>39816</v>
      </c>
      <c r="I66" s="24">
        <v>130220</v>
      </c>
      <c r="J66" s="24">
        <v>10684</v>
      </c>
      <c r="K66" s="24">
        <v>35179</v>
      </c>
    </row>
    <row r="67" spans="1:11">
      <c r="A67" s="23" t="s">
        <v>15</v>
      </c>
      <c r="B67" s="24" t="s">
        <v>375</v>
      </c>
      <c r="C67" s="24">
        <v>718</v>
      </c>
      <c r="D67" s="24" t="s">
        <v>371</v>
      </c>
      <c r="E67" s="24" t="s">
        <v>364</v>
      </c>
      <c r="F67" s="24">
        <v>74873</v>
      </c>
      <c r="G67" s="24">
        <v>3636</v>
      </c>
      <c r="H67" s="24">
        <v>27242</v>
      </c>
      <c r="I67" s="24">
        <v>83957</v>
      </c>
      <c r="J67" s="24">
        <v>3030</v>
      </c>
      <c r="K67" s="24">
        <v>31606</v>
      </c>
    </row>
    <row r="68" spans="1:11">
      <c r="A68" s="23" t="s">
        <v>15</v>
      </c>
      <c r="B68" s="24" t="s">
        <v>375</v>
      </c>
      <c r="C68" s="24">
        <v>718</v>
      </c>
      <c r="D68" s="24" t="s">
        <v>371</v>
      </c>
      <c r="E68" s="24" t="s">
        <v>365</v>
      </c>
      <c r="F68" s="24">
        <v>69136</v>
      </c>
      <c r="G68" s="24">
        <v>5097</v>
      </c>
      <c r="H68" s="24">
        <v>37178</v>
      </c>
      <c r="I68" s="24">
        <v>66114</v>
      </c>
      <c r="J68" s="24">
        <v>5473</v>
      </c>
      <c r="K68" s="24">
        <v>36548</v>
      </c>
    </row>
    <row r="69" spans="1:11">
      <c r="A69" s="23" t="s">
        <v>15</v>
      </c>
      <c r="B69" s="24" t="s">
        <v>375</v>
      </c>
      <c r="C69" s="24">
        <v>718</v>
      </c>
      <c r="D69" s="24" t="s">
        <v>371</v>
      </c>
      <c r="E69" s="24" t="s">
        <v>366</v>
      </c>
      <c r="F69" s="24">
        <v>54129</v>
      </c>
      <c r="G69" s="24">
        <v>4828</v>
      </c>
      <c r="H69" s="24">
        <v>25083</v>
      </c>
      <c r="I69" s="24">
        <v>58177</v>
      </c>
      <c r="J69" s="24">
        <v>5198</v>
      </c>
      <c r="K69" s="24">
        <v>26780</v>
      </c>
    </row>
    <row r="70" spans="1:11">
      <c r="A70" s="23" t="s">
        <v>15</v>
      </c>
      <c r="B70" s="24" t="s">
        <v>375</v>
      </c>
      <c r="C70" s="24">
        <v>718</v>
      </c>
      <c r="D70" s="24" t="s">
        <v>371</v>
      </c>
      <c r="E70" s="24" t="s">
        <v>367</v>
      </c>
      <c r="F70" s="24">
        <v>135305</v>
      </c>
      <c r="G70" s="24">
        <v>11765</v>
      </c>
      <c r="H70" s="24">
        <v>39800</v>
      </c>
      <c r="I70" s="24">
        <v>113812</v>
      </c>
      <c r="J70" s="24">
        <v>12042</v>
      </c>
      <c r="K70" s="24">
        <v>24851</v>
      </c>
    </row>
    <row r="71" spans="1:11">
      <c r="A71" s="23" t="s">
        <v>15</v>
      </c>
      <c r="B71" s="24" t="s">
        <v>375</v>
      </c>
      <c r="C71" s="24">
        <v>718</v>
      </c>
      <c r="D71" s="24" t="s">
        <v>371</v>
      </c>
      <c r="E71" s="24" t="s">
        <v>368</v>
      </c>
      <c r="F71" s="24">
        <v>104687</v>
      </c>
      <c r="G71" s="24">
        <v>8872</v>
      </c>
      <c r="H71" s="24">
        <v>31219</v>
      </c>
      <c r="I71" s="24">
        <v>70123</v>
      </c>
      <c r="J71" s="24">
        <v>7172</v>
      </c>
      <c r="K71" s="24">
        <v>26099</v>
      </c>
    </row>
    <row r="72" spans="1:11">
      <c r="A72" s="23" t="s">
        <v>372</v>
      </c>
      <c r="B72" s="24" t="s">
        <v>375</v>
      </c>
      <c r="C72" s="24">
        <v>737</v>
      </c>
      <c r="D72" s="24" t="s">
        <v>373</v>
      </c>
      <c r="E72" s="24" t="s">
        <v>364</v>
      </c>
      <c r="F72" s="24">
        <v>88595</v>
      </c>
      <c r="G72" s="24">
        <v>3486</v>
      </c>
      <c r="H72" s="24">
        <v>32336</v>
      </c>
      <c r="I72" s="24">
        <v>105279</v>
      </c>
      <c r="J72" s="24">
        <v>3554</v>
      </c>
      <c r="K72" s="24">
        <v>37146</v>
      </c>
    </row>
    <row r="73" spans="1:11">
      <c r="A73" s="23" t="s">
        <v>372</v>
      </c>
      <c r="B73" s="24" t="s">
        <v>375</v>
      </c>
      <c r="C73" s="24">
        <v>737</v>
      </c>
      <c r="D73" s="24" t="s">
        <v>373</v>
      </c>
      <c r="E73" s="24" t="s">
        <v>365</v>
      </c>
      <c r="F73" s="24">
        <v>100723</v>
      </c>
      <c r="G73" s="24">
        <v>6689</v>
      </c>
      <c r="H73" s="24">
        <v>56347</v>
      </c>
      <c r="I73" s="24">
        <v>93826</v>
      </c>
      <c r="J73" s="24">
        <v>6569</v>
      </c>
      <c r="K73" s="24">
        <v>47170</v>
      </c>
    </row>
    <row r="74" spans="1:11">
      <c r="A74" s="23" t="s">
        <v>372</v>
      </c>
      <c r="B74" s="24" t="s">
        <v>375</v>
      </c>
      <c r="C74" s="24">
        <v>737</v>
      </c>
      <c r="D74" s="24" t="s">
        <v>373</v>
      </c>
      <c r="E74" s="24" t="s">
        <v>366</v>
      </c>
      <c r="F74" s="24">
        <v>111406</v>
      </c>
      <c r="G74" s="24">
        <v>6991</v>
      </c>
      <c r="H74" s="24">
        <v>43252</v>
      </c>
      <c r="I74" s="24">
        <v>85094</v>
      </c>
      <c r="J74" s="24">
        <v>7001</v>
      </c>
      <c r="K74" s="24">
        <v>33247</v>
      </c>
    </row>
    <row r="75" spans="1:11">
      <c r="A75" s="23" t="s">
        <v>372</v>
      </c>
      <c r="B75" s="24" t="s">
        <v>375</v>
      </c>
      <c r="C75" s="24">
        <v>737</v>
      </c>
      <c r="D75" s="24" t="s">
        <v>373</v>
      </c>
      <c r="E75" s="24" t="s">
        <v>367</v>
      </c>
      <c r="F75" s="24">
        <v>194739</v>
      </c>
      <c r="G75" s="24">
        <v>13227</v>
      </c>
      <c r="H75" s="24">
        <v>49321</v>
      </c>
      <c r="I75" s="24">
        <v>217236</v>
      </c>
      <c r="J75" s="24">
        <v>15366</v>
      </c>
      <c r="K75" s="24">
        <v>43218</v>
      </c>
    </row>
    <row r="76" spans="1:11">
      <c r="A76" s="23" t="s">
        <v>372</v>
      </c>
      <c r="B76" s="24" t="s">
        <v>375</v>
      </c>
      <c r="C76" s="24">
        <v>737</v>
      </c>
      <c r="D76" s="24" t="s">
        <v>373</v>
      </c>
      <c r="E76" s="24" t="s">
        <v>368</v>
      </c>
      <c r="F76" s="24">
        <v>115812</v>
      </c>
      <c r="G76" s="24">
        <v>10931</v>
      </c>
      <c r="H76" s="24">
        <v>41629</v>
      </c>
      <c r="I76" s="24">
        <v>113297</v>
      </c>
      <c r="J76" s="24">
        <v>11466</v>
      </c>
      <c r="K76" s="24">
        <v>36617</v>
      </c>
    </row>
    <row r="77" spans="1:11">
      <c r="A77" s="23" t="s">
        <v>21</v>
      </c>
      <c r="B77" s="24" t="s">
        <v>376</v>
      </c>
      <c r="C77" s="24">
        <v>548</v>
      </c>
      <c r="D77" s="24" t="s">
        <v>363</v>
      </c>
      <c r="E77" s="24" t="s">
        <v>364</v>
      </c>
      <c r="F77" s="24">
        <v>111603</v>
      </c>
      <c r="G77" s="24">
        <v>3898</v>
      </c>
      <c r="H77" s="24">
        <v>36067</v>
      </c>
      <c r="I77" s="24">
        <v>84063</v>
      </c>
      <c r="J77" s="24">
        <v>2946</v>
      </c>
      <c r="K77" s="24">
        <v>33584</v>
      </c>
    </row>
    <row r="78" spans="1:11">
      <c r="A78" s="23" t="s">
        <v>21</v>
      </c>
      <c r="B78" s="24" t="s">
        <v>376</v>
      </c>
      <c r="C78" s="24">
        <v>548</v>
      </c>
      <c r="D78" s="24" t="s">
        <v>363</v>
      </c>
      <c r="E78" s="24" t="s">
        <v>365</v>
      </c>
      <c r="F78" s="24">
        <v>98599</v>
      </c>
      <c r="G78" s="24">
        <v>7259</v>
      </c>
      <c r="H78" s="24">
        <v>53833</v>
      </c>
      <c r="I78" s="24">
        <v>87109</v>
      </c>
      <c r="J78" s="24">
        <v>6165</v>
      </c>
      <c r="K78" s="24">
        <v>47257</v>
      </c>
    </row>
    <row r="79" spans="1:11">
      <c r="A79" s="23" t="s">
        <v>21</v>
      </c>
      <c r="B79" s="24" t="s">
        <v>376</v>
      </c>
      <c r="C79" s="24">
        <v>548</v>
      </c>
      <c r="D79" s="24" t="s">
        <v>363</v>
      </c>
      <c r="E79" s="24" t="s">
        <v>366</v>
      </c>
      <c r="F79" s="24">
        <v>97083</v>
      </c>
      <c r="G79" s="24">
        <v>8470</v>
      </c>
      <c r="H79" s="24">
        <v>44362</v>
      </c>
      <c r="I79" s="24">
        <v>86491</v>
      </c>
      <c r="J79" s="24">
        <v>7981</v>
      </c>
      <c r="K79" s="24">
        <v>40117</v>
      </c>
    </row>
    <row r="80" spans="1:11">
      <c r="A80" s="23" t="s">
        <v>21</v>
      </c>
      <c r="B80" s="24" t="s">
        <v>376</v>
      </c>
      <c r="C80" s="24">
        <v>548</v>
      </c>
      <c r="D80" s="24" t="s">
        <v>363</v>
      </c>
      <c r="E80" s="24" t="s">
        <v>367</v>
      </c>
      <c r="F80" s="24">
        <v>223257</v>
      </c>
      <c r="G80" s="24">
        <v>22011</v>
      </c>
      <c r="H80" s="24">
        <v>55683</v>
      </c>
      <c r="I80" s="24">
        <v>146987</v>
      </c>
      <c r="J80" s="24">
        <v>16304</v>
      </c>
      <c r="K80" s="24">
        <v>39092</v>
      </c>
    </row>
    <row r="81" spans="1:11">
      <c r="A81" s="23" t="s">
        <v>21</v>
      </c>
      <c r="B81" s="24" t="s">
        <v>376</v>
      </c>
      <c r="C81" s="24">
        <v>548</v>
      </c>
      <c r="D81" s="24" t="s">
        <v>363</v>
      </c>
      <c r="E81" s="24" t="s">
        <v>368</v>
      </c>
      <c r="F81" s="24">
        <v>124681</v>
      </c>
      <c r="G81" s="24">
        <v>10383</v>
      </c>
      <c r="H81" s="24">
        <v>39786</v>
      </c>
      <c r="I81" s="24">
        <v>96192</v>
      </c>
      <c r="J81" s="24">
        <v>8474</v>
      </c>
      <c r="K81" s="24">
        <v>38744</v>
      </c>
    </row>
    <row r="82" spans="1:11">
      <c r="A82" s="23" t="s">
        <v>12</v>
      </c>
      <c r="B82" s="24" t="s">
        <v>376</v>
      </c>
      <c r="C82" s="24">
        <v>578</v>
      </c>
      <c r="D82" s="24" t="s">
        <v>369</v>
      </c>
      <c r="E82" s="24" t="s">
        <v>364</v>
      </c>
      <c r="F82" s="24">
        <v>139940</v>
      </c>
      <c r="G82" s="24">
        <v>5926</v>
      </c>
      <c r="H82" s="24">
        <v>44741</v>
      </c>
      <c r="I82" s="24">
        <v>114735</v>
      </c>
      <c r="J82" s="24">
        <v>4778</v>
      </c>
      <c r="K82" s="24">
        <v>48003</v>
      </c>
    </row>
    <row r="83" spans="1:11">
      <c r="A83" s="23" t="s">
        <v>12</v>
      </c>
      <c r="B83" s="24" t="s">
        <v>376</v>
      </c>
      <c r="C83" s="24">
        <v>578</v>
      </c>
      <c r="D83" s="24" t="s">
        <v>369</v>
      </c>
      <c r="E83" s="24" t="s">
        <v>365</v>
      </c>
      <c r="F83" s="24">
        <v>127988</v>
      </c>
      <c r="G83" s="24">
        <v>8765</v>
      </c>
      <c r="H83" s="24">
        <v>70272</v>
      </c>
      <c r="I83" s="24">
        <v>120677</v>
      </c>
      <c r="J83" s="24">
        <v>8591</v>
      </c>
      <c r="K83" s="24">
        <v>68639</v>
      </c>
    </row>
    <row r="84" spans="1:11">
      <c r="A84" s="23" t="s">
        <v>12</v>
      </c>
      <c r="B84" s="24" t="s">
        <v>376</v>
      </c>
      <c r="C84" s="24">
        <v>578</v>
      </c>
      <c r="D84" s="24" t="s">
        <v>369</v>
      </c>
      <c r="E84" s="24" t="s">
        <v>366</v>
      </c>
      <c r="F84" s="24">
        <v>113925</v>
      </c>
      <c r="G84" s="24">
        <v>8660</v>
      </c>
      <c r="H84" s="24">
        <v>52210</v>
      </c>
      <c r="I84" s="24">
        <v>116232</v>
      </c>
      <c r="J84" s="24">
        <v>10800</v>
      </c>
      <c r="K84" s="24">
        <v>51709</v>
      </c>
    </row>
    <row r="85" spans="1:11">
      <c r="A85" s="23" t="s">
        <v>12</v>
      </c>
      <c r="B85" s="24" t="s">
        <v>376</v>
      </c>
      <c r="C85" s="24">
        <v>578</v>
      </c>
      <c r="D85" s="24" t="s">
        <v>369</v>
      </c>
      <c r="E85" s="24" t="s">
        <v>367</v>
      </c>
      <c r="F85" s="24">
        <v>156986</v>
      </c>
      <c r="G85" s="24">
        <v>13976</v>
      </c>
      <c r="H85" s="24">
        <v>42238</v>
      </c>
      <c r="I85" s="24">
        <v>155703</v>
      </c>
      <c r="J85" s="24">
        <v>14797</v>
      </c>
      <c r="K85" s="24">
        <v>40405</v>
      </c>
    </row>
    <row r="86" spans="1:11">
      <c r="A86" s="23" t="s">
        <v>12</v>
      </c>
      <c r="B86" s="24" t="s">
        <v>376</v>
      </c>
      <c r="C86" s="24">
        <v>578</v>
      </c>
      <c r="D86" s="24" t="s">
        <v>369</v>
      </c>
      <c r="E86" s="24" t="s">
        <v>368</v>
      </c>
      <c r="F86" s="24">
        <v>135096</v>
      </c>
      <c r="G86" s="24">
        <v>13406</v>
      </c>
      <c r="H86" s="24">
        <v>42476</v>
      </c>
      <c r="I86" s="24">
        <v>140069</v>
      </c>
      <c r="J86" s="24">
        <v>10566</v>
      </c>
      <c r="K86" s="24">
        <v>40337</v>
      </c>
    </row>
    <row r="87" spans="1:11">
      <c r="A87" s="23" t="s">
        <v>15</v>
      </c>
      <c r="B87" s="24" t="s">
        <v>376</v>
      </c>
      <c r="C87" s="24">
        <v>659</v>
      </c>
      <c r="D87" s="24" t="s">
        <v>370</v>
      </c>
      <c r="E87" s="24" t="s">
        <v>364</v>
      </c>
      <c r="F87" s="24">
        <v>74924</v>
      </c>
      <c r="G87" s="24">
        <v>4734</v>
      </c>
      <c r="H87" s="24">
        <v>27255</v>
      </c>
      <c r="I87" s="24">
        <v>72973</v>
      </c>
      <c r="J87" s="24">
        <v>3447</v>
      </c>
      <c r="K87" s="24">
        <v>28688</v>
      </c>
    </row>
    <row r="88" spans="1:11">
      <c r="A88" s="23" t="s">
        <v>15</v>
      </c>
      <c r="B88" s="24" t="s">
        <v>376</v>
      </c>
      <c r="C88" s="24">
        <v>659</v>
      </c>
      <c r="D88" s="24" t="s">
        <v>370</v>
      </c>
      <c r="E88" s="24" t="s">
        <v>365</v>
      </c>
      <c r="F88" s="24">
        <v>91885</v>
      </c>
      <c r="G88" s="24">
        <v>5836</v>
      </c>
      <c r="H88" s="24">
        <v>50046</v>
      </c>
      <c r="I88" s="24">
        <v>85243</v>
      </c>
      <c r="J88" s="24">
        <v>6655</v>
      </c>
      <c r="K88" s="24">
        <v>45737</v>
      </c>
    </row>
    <row r="89" spans="1:11">
      <c r="A89" s="23" t="s">
        <v>15</v>
      </c>
      <c r="B89" s="24" t="s">
        <v>376</v>
      </c>
      <c r="C89" s="24">
        <v>659</v>
      </c>
      <c r="D89" s="24" t="s">
        <v>370</v>
      </c>
      <c r="E89" s="24" t="s">
        <v>366</v>
      </c>
      <c r="F89" s="24">
        <v>73835</v>
      </c>
      <c r="G89" s="24">
        <v>6076</v>
      </c>
      <c r="H89" s="24">
        <v>34664</v>
      </c>
      <c r="I89" s="24">
        <v>66919</v>
      </c>
      <c r="J89" s="24">
        <v>6744</v>
      </c>
      <c r="K89" s="24">
        <v>30436</v>
      </c>
    </row>
    <row r="90" spans="1:11">
      <c r="A90" s="23" t="s">
        <v>15</v>
      </c>
      <c r="B90" s="24" t="s">
        <v>376</v>
      </c>
      <c r="C90" s="24">
        <v>659</v>
      </c>
      <c r="D90" s="24" t="s">
        <v>370</v>
      </c>
      <c r="E90" s="24" t="s">
        <v>367</v>
      </c>
      <c r="F90" s="24">
        <v>103081</v>
      </c>
      <c r="G90" s="24">
        <v>9279</v>
      </c>
      <c r="H90" s="24">
        <v>30048</v>
      </c>
      <c r="I90" s="24">
        <v>86761</v>
      </c>
      <c r="J90" s="24">
        <v>9648</v>
      </c>
      <c r="K90" s="24">
        <v>21086</v>
      </c>
    </row>
    <row r="91" spans="1:11">
      <c r="A91" s="23" t="s">
        <v>15</v>
      </c>
      <c r="B91" s="24" t="s">
        <v>376</v>
      </c>
      <c r="C91" s="24">
        <v>659</v>
      </c>
      <c r="D91" s="24" t="s">
        <v>370</v>
      </c>
      <c r="E91" s="24" t="s">
        <v>368</v>
      </c>
      <c r="F91" s="24">
        <v>110735</v>
      </c>
      <c r="G91" s="24">
        <v>7940</v>
      </c>
      <c r="H91" s="24">
        <v>32990</v>
      </c>
      <c r="I91" s="24">
        <v>95590</v>
      </c>
      <c r="J91" s="24">
        <v>7245</v>
      </c>
      <c r="K91" s="24">
        <v>34297</v>
      </c>
    </row>
    <row r="92" spans="1:11">
      <c r="A92" s="23" t="s">
        <v>15</v>
      </c>
      <c r="B92" s="24" t="s">
        <v>376</v>
      </c>
      <c r="C92" s="24">
        <v>718</v>
      </c>
      <c r="D92" s="24" t="s">
        <v>371</v>
      </c>
      <c r="E92" s="24" t="s">
        <v>364</v>
      </c>
      <c r="F92" s="24">
        <v>92653</v>
      </c>
      <c r="G92" s="24">
        <v>4412</v>
      </c>
      <c r="H92" s="24">
        <v>28051</v>
      </c>
      <c r="I92" s="24">
        <v>142622</v>
      </c>
      <c r="J92" s="24">
        <v>2871</v>
      </c>
      <c r="K92" s="24">
        <v>52553</v>
      </c>
    </row>
    <row r="93" spans="1:11">
      <c r="A93" s="23" t="s">
        <v>15</v>
      </c>
      <c r="B93" s="24" t="s">
        <v>376</v>
      </c>
      <c r="C93" s="24">
        <v>718</v>
      </c>
      <c r="D93" s="24" t="s">
        <v>371</v>
      </c>
      <c r="E93" s="24" t="s">
        <v>365</v>
      </c>
      <c r="F93" s="24">
        <v>71306</v>
      </c>
      <c r="G93" s="24">
        <v>5180</v>
      </c>
      <c r="H93" s="24">
        <v>36329</v>
      </c>
      <c r="I93" s="24">
        <v>60936</v>
      </c>
      <c r="J93" s="24">
        <v>5132</v>
      </c>
      <c r="K93" s="24">
        <v>34681</v>
      </c>
    </row>
    <row r="94" spans="1:11">
      <c r="A94" s="23" t="s">
        <v>15</v>
      </c>
      <c r="B94" s="24" t="s">
        <v>376</v>
      </c>
      <c r="C94" s="24">
        <v>718</v>
      </c>
      <c r="D94" s="24" t="s">
        <v>371</v>
      </c>
      <c r="E94" s="24" t="s">
        <v>366</v>
      </c>
      <c r="F94" s="24">
        <v>67117</v>
      </c>
      <c r="G94" s="24">
        <v>4896</v>
      </c>
      <c r="H94" s="24">
        <v>26886</v>
      </c>
      <c r="I94" s="24">
        <v>57618</v>
      </c>
      <c r="J94" s="24">
        <v>4613</v>
      </c>
      <c r="K94" s="24">
        <v>28889</v>
      </c>
    </row>
    <row r="95" spans="1:11">
      <c r="A95" s="23" t="s">
        <v>15</v>
      </c>
      <c r="B95" s="24" t="s">
        <v>376</v>
      </c>
      <c r="C95" s="24">
        <v>718</v>
      </c>
      <c r="D95" s="24" t="s">
        <v>371</v>
      </c>
      <c r="E95" s="24" t="s">
        <v>367</v>
      </c>
      <c r="F95" s="24">
        <v>123878</v>
      </c>
      <c r="G95" s="24">
        <v>10800</v>
      </c>
      <c r="H95" s="24">
        <v>32035</v>
      </c>
      <c r="I95" s="24">
        <v>92694</v>
      </c>
      <c r="J95" s="24">
        <v>8455</v>
      </c>
      <c r="K95" s="24">
        <v>19034</v>
      </c>
    </row>
    <row r="96" spans="1:11">
      <c r="A96" s="23" t="s">
        <v>15</v>
      </c>
      <c r="B96" s="24" t="s">
        <v>376</v>
      </c>
      <c r="C96" s="24">
        <v>718</v>
      </c>
      <c r="D96" s="24" t="s">
        <v>371</v>
      </c>
      <c r="E96" s="24" t="s">
        <v>368</v>
      </c>
      <c r="F96" s="24">
        <v>68065</v>
      </c>
      <c r="G96" s="24">
        <v>6567</v>
      </c>
      <c r="H96" s="24">
        <v>23677</v>
      </c>
      <c r="I96" s="24">
        <v>51644</v>
      </c>
      <c r="J96" s="24">
        <v>4971</v>
      </c>
      <c r="K96" s="24">
        <v>17752</v>
      </c>
    </row>
    <row r="97" spans="1:11">
      <c r="A97" s="23" t="s">
        <v>372</v>
      </c>
      <c r="B97" s="24" t="s">
        <v>376</v>
      </c>
      <c r="C97" s="24">
        <v>737</v>
      </c>
      <c r="D97" s="24" t="s">
        <v>373</v>
      </c>
      <c r="E97" s="24" t="s">
        <v>364</v>
      </c>
      <c r="F97" s="24">
        <v>131246</v>
      </c>
      <c r="G97" s="24">
        <v>4411</v>
      </c>
      <c r="H97" s="24">
        <v>46653</v>
      </c>
      <c r="I97" s="24">
        <v>74725</v>
      </c>
      <c r="J97" s="24">
        <v>3139</v>
      </c>
      <c r="K97" s="24">
        <v>30426</v>
      </c>
    </row>
    <row r="98" spans="1:11">
      <c r="A98" s="23" t="s">
        <v>372</v>
      </c>
      <c r="B98" s="24" t="s">
        <v>376</v>
      </c>
      <c r="C98" s="24">
        <v>737</v>
      </c>
      <c r="D98" s="24" t="s">
        <v>373</v>
      </c>
      <c r="E98" s="24" t="s">
        <v>365</v>
      </c>
      <c r="F98" s="24">
        <v>103597</v>
      </c>
      <c r="G98" s="24">
        <v>6618</v>
      </c>
      <c r="H98" s="24">
        <v>55068</v>
      </c>
      <c r="I98" s="24">
        <v>106134</v>
      </c>
      <c r="J98" s="24">
        <v>7167</v>
      </c>
      <c r="K98" s="24">
        <v>53987</v>
      </c>
    </row>
    <row r="99" spans="1:11">
      <c r="A99" s="23" t="s">
        <v>372</v>
      </c>
      <c r="B99" s="24" t="s">
        <v>376</v>
      </c>
      <c r="C99" s="24">
        <v>737</v>
      </c>
      <c r="D99" s="24" t="s">
        <v>373</v>
      </c>
      <c r="E99" s="24" t="s">
        <v>366</v>
      </c>
      <c r="F99" s="24">
        <v>88056</v>
      </c>
      <c r="G99" s="24">
        <v>6629</v>
      </c>
      <c r="H99" s="24">
        <v>42120</v>
      </c>
      <c r="I99" s="24">
        <v>77653</v>
      </c>
      <c r="J99" s="24">
        <v>5735</v>
      </c>
      <c r="K99" s="24">
        <v>35788</v>
      </c>
    </row>
    <row r="100" spans="1:11">
      <c r="A100" s="23" t="s">
        <v>372</v>
      </c>
      <c r="B100" s="24" t="s">
        <v>376</v>
      </c>
      <c r="C100" s="24">
        <v>737</v>
      </c>
      <c r="D100" s="24" t="s">
        <v>373</v>
      </c>
      <c r="E100" s="24" t="s">
        <v>367</v>
      </c>
      <c r="F100" s="24">
        <v>169265</v>
      </c>
      <c r="G100" s="24">
        <v>13388</v>
      </c>
      <c r="H100" s="24">
        <v>36366</v>
      </c>
      <c r="I100" s="24">
        <v>125052</v>
      </c>
      <c r="J100" s="24">
        <v>12340</v>
      </c>
      <c r="K100" s="24">
        <v>52382</v>
      </c>
    </row>
    <row r="101" spans="1:11">
      <c r="A101" s="23" t="s">
        <v>372</v>
      </c>
      <c r="B101" s="24" t="s">
        <v>376</v>
      </c>
      <c r="C101" s="24">
        <v>737</v>
      </c>
      <c r="D101" s="24" t="s">
        <v>373</v>
      </c>
      <c r="E101" s="24" t="s">
        <v>368</v>
      </c>
      <c r="F101" s="24">
        <v>93495</v>
      </c>
      <c r="G101" s="24">
        <v>9011</v>
      </c>
      <c r="H101" s="24">
        <v>35456</v>
      </c>
      <c r="I101" s="24">
        <v>93546</v>
      </c>
      <c r="J101" s="24">
        <v>6745</v>
      </c>
      <c r="K101" s="24">
        <v>34394</v>
      </c>
    </row>
    <row r="102" spans="1:11">
      <c r="A102" s="23" t="s">
        <v>21</v>
      </c>
      <c r="B102" s="24" t="s">
        <v>377</v>
      </c>
      <c r="C102" s="24">
        <v>548</v>
      </c>
      <c r="D102" s="24" t="s">
        <v>363</v>
      </c>
      <c r="E102" s="24" t="s">
        <v>364</v>
      </c>
      <c r="F102" s="24">
        <v>114626</v>
      </c>
      <c r="G102" s="24">
        <v>4488</v>
      </c>
      <c r="H102" s="24">
        <v>40498</v>
      </c>
      <c r="I102" s="24">
        <v>98422</v>
      </c>
      <c r="J102" s="24">
        <v>3254</v>
      </c>
      <c r="K102" s="24">
        <v>39537</v>
      </c>
    </row>
    <row r="103" spans="1:11">
      <c r="A103" s="23" t="s">
        <v>21</v>
      </c>
      <c r="B103" s="24" t="s">
        <v>377</v>
      </c>
      <c r="C103" s="24">
        <v>548</v>
      </c>
      <c r="D103" s="24" t="s">
        <v>363</v>
      </c>
      <c r="E103" s="24" t="s">
        <v>365</v>
      </c>
      <c r="F103" s="24">
        <v>86971</v>
      </c>
      <c r="G103" s="24">
        <v>6503</v>
      </c>
      <c r="H103" s="24">
        <v>46827</v>
      </c>
      <c r="I103" s="24">
        <v>96145</v>
      </c>
      <c r="J103" s="24">
        <v>6651</v>
      </c>
      <c r="K103" s="24">
        <v>50737</v>
      </c>
    </row>
    <row r="104" spans="1:11">
      <c r="A104" s="23" t="s">
        <v>21</v>
      </c>
      <c r="B104" s="24" t="s">
        <v>377</v>
      </c>
      <c r="C104" s="24">
        <v>548</v>
      </c>
      <c r="D104" s="24" t="s">
        <v>363</v>
      </c>
      <c r="E104" s="24" t="s">
        <v>366</v>
      </c>
      <c r="F104" s="24">
        <v>84567</v>
      </c>
      <c r="G104" s="24">
        <v>7162</v>
      </c>
      <c r="H104" s="24">
        <v>38157</v>
      </c>
      <c r="I104" s="24">
        <v>98820</v>
      </c>
      <c r="J104" s="24">
        <v>8256</v>
      </c>
      <c r="K104" s="24">
        <v>41932</v>
      </c>
    </row>
    <row r="105" spans="1:11">
      <c r="A105" s="23" t="s">
        <v>21</v>
      </c>
      <c r="B105" s="24" t="s">
        <v>377</v>
      </c>
      <c r="C105" s="24">
        <v>548</v>
      </c>
      <c r="D105" s="24" t="s">
        <v>363</v>
      </c>
      <c r="E105" s="24" t="s">
        <v>367</v>
      </c>
      <c r="F105" s="24">
        <v>197766</v>
      </c>
      <c r="G105" s="24">
        <v>21468</v>
      </c>
      <c r="H105" s="24">
        <v>55542</v>
      </c>
      <c r="I105" s="24">
        <v>186289</v>
      </c>
      <c r="J105" s="24">
        <v>20221</v>
      </c>
      <c r="K105" s="24">
        <v>37754</v>
      </c>
    </row>
    <row r="106" spans="1:11">
      <c r="A106" s="23" t="s">
        <v>21</v>
      </c>
      <c r="B106" s="24" t="s">
        <v>377</v>
      </c>
      <c r="C106" s="24">
        <v>548</v>
      </c>
      <c r="D106" s="24" t="s">
        <v>363</v>
      </c>
      <c r="E106" s="24" t="s">
        <v>368</v>
      </c>
      <c r="F106" s="24">
        <v>120387</v>
      </c>
      <c r="G106" s="24">
        <v>11816</v>
      </c>
      <c r="H106" s="24">
        <v>44244</v>
      </c>
      <c r="I106" s="24">
        <v>130779</v>
      </c>
      <c r="J106" s="24">
        <v>10721</v>
      </c>
      <c r="K106" s="24">
        <v>49169</v>
      </c>
    </row>
    <row r="107" spans="1:11">
      <c r="A107" s="23" t="s">
        <v>12</v>
      </c>
      <c r="B107" s="24" t="s">
        <v>377</v>
      </c>
      <c r="C107" s="24">
        <v>578</v>
      </c>
      <c r="D107" s="24" t="s">
        <v>369</v>
      </c>
      <c r="E107" s="24" t="s">
        <v>364</v>
      </c>
      <c r="F107" s="24">
        <v>152635</v>
      </c>
      <c r="G107" s="24">
        <v>9532</v>
      </c>
      <c r="H107" s="24">
        <v>53352</v>
      </c>
      <c r="I107" s="24">
        <v>114834</v>
      </c>
      <c r="J107" s="24">
        <v>4855</v>
      </c>
      <c r="K107" s="24">
        <v>52004</v>
      </c>
    </row>
    <row r="108" spans="1:11">
      <c r="A108" s="23" t="s">
        <v>12</v>
      </c>
      <c r="B108" s="24" t="s">
        <v>377</v>
      </c>
      <c r="C108" s="24">
        <v>578</v>
      </c>
      <c r="D108" s="24" t="s">
        <v>369</v>
      </c>
      <c r="E108" s="24" t="s">
        <v>365</v>
      </c>
      <c r="F108" s="24">
        <v>137509</v>
      </c>
      <c r="G108" s="24">
        <v>9744</v>
      </c>
      <c r="H108" s="24">
        <v>62652</v>
      </c>
      <c r="I108" s="24">
        <v>128461</v>
      </c>
      <c r="J108" s="24">
        <v>9366</v>
      </c>
      <c r="K108" s="24">
        <v>71331</v>
      </c>
    </row>
    <row r="109" spans="1:11">
      <c r="A109" s="23" t="s">
        <v>12</v>
      </c>
      <c r="B109" s="24" t="s">
        <v>377</v>
      </c>
      <c r="C109" s="24">
        <v>578</v>
      </c>
      <c r="D109" s="24" t="s">
        <v>369</v>
      </c>
      <c r="E109" s="24" t="s">
        <v>366</v>
      </c>
      <c r="F109" s="24">
        <v>110066</v>
      </c>
      <c r="G109" s="24">
        <v>9790</v>
      </c>
      <c r="H109" s="24">
        <v>52335</v>
      </c>
      <c r="I109" s="24">
        <v>112936</v>
      </c>
      <c r="J109" s="24">
        <v>9554</v>
      </c>
      <c r="K109" s="24">
        <v>50538</v>
      </c>
    </row>
    <row r="110" spans="1:11">
      <c r="A110" s="23" t="s">
        <v>12</v>
      </c>
      <c r="B110" s="24" t="s">
        <v>377</v>
      </c>
      <c r="C110" s="24">
        <v>578</v>
      </c>
      <c r="D110" s="24" t="s">
        <v>369</v>
      </c>
      <c r="E110" s="24" t="s">
        <v>367</v>
      </c>
      <c r="F110" s="24">
        <v>174425</v>
      </c>
      <c r="G110" s="24">
        <v>18186</v>
      </c>
      <c r="H110" s="24">
        <v>49717</v>
      </c>
      <c r="I110" s="24">
        <v>153538</v>
      </c>
      <c r="J110" s="24">
        <v>12695</v>
      </c>
      <c r="K110" s="24">
        <v>37414</v>
      </c>
    </row>
    <row r="111" spans="1:11">
      <c r="A111" s="23" t="s">
        <v>12</v>
      </c>
      <c r="B111" s="24" t="s">
        <v>377</v>
      </c>
      <c r="C111" s="24">
        <v>578</v>
      </c>
      <c r="D111" s="24" t="s">
        <v>369</v>
      </c>
      <c r="E111" s="24" t="s">
        <v>368</v>
      </c>
      <c r="F111" s="24">
        <v>218253</v>
      </c>
      <c r="G111" s="24">
        <v>13527</v>
      </c>
      <c r="H111" s="24">
        <v>60750</v>
      </c>
      <c r="I111" s="24">
        <v>182029</v>
      </c>
      <c r="J111" s="24">
        <v>13218</v>
      </c>
      <c r="K111" s="24">
        <v>51884</v>
      </c>
    </row>
    <row r="112" spans="1:11">
      <c r="A112" s="23" t="s">
        <v>15</v>
      </c>
      <c r="B112" s="24" t="s">
        <v>377</v>
      </c>
      <c r="C112" s="24">
        <v>659</v>
      </c>
      <c r="D112" s="24" t="s">
        <v>370</v>
      </c>
      <c r="E112" s="24" t="s">
        <v>364</v>
      </c>
      <c r="F112" s="24">
        <v>97767</v>
      </c>
      <c r="G112" s="24">
        <v>4890</v>
      </c>
      <c r="H112" s="24">
        <v>40758</v>
      </c>
      <c r="I112" s="24">
        <v>79020</v>
      </c>
      <c r="J112" s="24">
        <v>3587</v>
      </c>
      <c r="K112" s="24">
        <v>33234</v>
      </c>
    </row>
    <row r="113" spans="1:11">
      <c r="A113" s="23" t="s">
        <v>15</v>
      </c>
      <c r="B113" s="24" t="s">
        <v>377</v>
      </c>
      <c r="C113" s="24">
        <v>659</v>
      </c>
      <c r="D113" s="24" t="s">
        <v>370</v>
      </c>
      <c r="E113" s="24" t="s">
        <v>365</v>
      </c>
      <c r="F113" s="24">
        <v>103841</v>
      </c>
      <c r="G113" s="24">
        <v>6590</v>
      </c>
      <c r="H113" s="24">
        <v>50782</v>
      </c>
      <c r="I113" s="24">
        <v>85510</v>
      </c>
      <c r="J113" s="24">
        <v>6022</v>
      </c>
      <c r="K113" s="24">
        <v>46008</v>
      </c>
    </row>
    <row r="114" spans="1:11">
      <c r="A114" s="23" t="s">
        <v>15</v>
      </c>
      <c r="B114" s="24" t="s">
        <v>377</v>
      </c>
      <c r="C114" s="24">
        <v>659</v>
      </c>
      <c r="D114" s="24" t="s">
        <v>370</v>
      </c>
      <c r="E114" s="24" t="s">
        <v>366</v>
      </c>
      <c r="F114" s="24">
        <v>74429</v>
      </c>
      <c r="G114" s="24">
        <v>5601</v>
      </c>
      <c r="H114" s="24">
        <v>36418</v>
      </c>
      <c r="I114" s="24">
        <v>74355</v>
      </c>
      <c r="J114" s="24">
        <v>6010</v>
      </c>
      <c r="K114" s="24">
        <v>34181</v>
      </c>
    </row>
    <row r="115" spans="1:11">
      <c r="A115" s="23" t="s">
        <v>15</v>
      </c>
      <c r="B115" s="24" t="s">
        <v>377</v>
      </c>
      <c r="C115" s="24">
        <v>659</v>
      </c>
      <c r="D115" s="24" t="s">
        <v>370</v>
      </c>
      <c r="E115" s="24" t="s">
        <v>367</v>
      </c>
      <c r="F115" s="24">
        <v>94689</v>
      </c>
      <c r="G115" s="24">
        <v>9948</v>
      </c>
      <c r="H115" s="24">
        <v>27045</v>
      </c>
      <c r="I115" s="24">
        <v>100765</v>
      </c>
      <c r="J115" s="24">
        <v>10882</v>
      </c>
      <c r="K115" s="24">
        <v>30017</v>
      </c>
    </row>
    <row r="116" spans="1:11">
      <c r="A116" s="23" t="s">
        <v>15</v>
      </c>
      <c r="B116" s="24" t="s">
        <v>377</v>
      </c>
      <c r="C116" s="24">
        <v>659</v>
      </c>
      <c r="D116" s="24" t="s">
        <v>370</v>
      </c>
      <c r="E116" s="24" t="s">
        <v>368</v>
      </c>
      <c r="F116" s="24">
        <v>120442</v>
      </c>
      <c r="G116" s="24">
        <v>10827</v>
      </c>
      <c r="H116" s="24">
        <v>32196</v>
      </c>
      <c r="I116" s="24">
        <v>112577</v>
      </c>
      <c r="J116" s="24">
        <v>9539</v>
      </c>
      <c r="K116" s="24">
        <v>38003</v>
      </c>
    </row>
    <row r="117" spans="1:11">
      <c r="A117" s="23" t="s">
        <v>15</v>
      </c>
      <c r="B117" s="24" t="s">
        <v>377</v>
      </c>
      <c r="C117" s="24">
        <v>718</v>
      </c>
      <c r="D117" s="24" t="s">
        <v>371</v>
      </c>
      <c r="E117" s="24" t="s">
        <v>364</v>
      </c>
      <c r="F117" s="24">
        <v>79889</v>
      </c>
      <c r="G117" s="24">
        <v>2988</v>
      </c>
      <c r="H117" s="24">
        <v>26742</v>
      </c>
      <c r="I117" s="24">
        <v>59034</v>
      </c>
      <c r="J117" s="24">
        <v>2795</v>
      </c>
      <c r="K117" s="24">
        <v>22201</v>
      </c>
    </row>
    <row r="118" spans="1:11">
      <c r="A118" s="23" t="s">
        <v>15</v>
      </c>
      <c r="B118" s="24" t="s">
        <v>377</v>
      </c>
      <c r="C118" s="24">
        <v>718</v>
      </c>
      <c r="D118" s="24" t="s">
        <v>371</v>
      </c>
      <c r="E118" s="24" t="s">
        <v>365</v>
      </c>
      <c r="F118" s="24">
        <v>59398</v>
      </c>
      <c r="G118" s="24">
        <v>4424</v>
      </c>
      <c r="H118" s="24">
        <v>32351</v>
      </c>
      <c r="I118" s="24">
        <v>65195</v>
      </c>
      <c r="J118" s="24">
        <v>5225</v>
      </c>
      <c r="K118" s="24">
        <v>35289</v>
      </c>
    </row>
    <row r="119" spans="1:11">
      <c r="A119" s="23" t="s">
        <v>15</v>
      </c>
      <c r="B119" s="24" t="s">
        <v>377</v>
      </c>
      <c r="C119" s="24">
        <v>718</v>
      </c>
      <c r="D119" s="24" t="s">
        <v>371</v>
      </c>
      <c r="E119" s="24" t="s">
        <v>366</v>
      </c>
      <c r="F119" s="24">
        <v>64913</v>
      </c>
      <c r="G119" s="24">
        <v>4527</v>
      </c>
      <c r="H119" s="24">
        <v>29470</v>
      </c>
      <c r="I119" s="24">
        <v>68365</v>
      </c>
      <c r="J119" s="24">
        <v>5354</v>
      </c>
      <c r="K119" s="24">
        <v>34066</v>
      </c>
    </row>
    <row r="120" spans="1:11">
      <c r="A120" s="23" t="s">
        <v>15</v>
      </c>
      <c r="B120" s="24" t="s">
        <v>377</v>
      </c>
      <c r="C120" s="24">
        <v>718</v>
      </c>
      <c r="D120" s="24" t="s">
        <v>371</v>
      </c>
      <c r="E120" s="24" t="s">
        <v>367</v>
      </c>
      <c r="F120" s="24">
        <v>142776</v>
      </c>
      <c r="G120" s="24">
        <v>11627</v>
      </c>
      <c r="H120" s="24">
        <v>36722</v>
      </c>
      <c r="I120" s="24">
        <v>125577</v>
      </c>
      <c r="J120" s="24">
        <v>12187</v>
      </c>
      <c r="K120" s="24">
        <v>26725</v>
      </c>
    </row>
    <row r="121" spans="1:11">
      <c r="A121" s="23" t="s">
        <v>15</v>
      </c>
      <c r="B121" s="24" t="s">
        <v>377</v>
      </c>
      <c r="C121" s="24">
        <v>718</v>
      </c>
      <c r="D121" s="24" t="s">
        <v>371</v>
      </c>
      <c r="E121" s="24" t="s">
        <v>368</v>
      </c>
      <c r="F121" s="24">
        <v>133844</v>
      </c>
      <c r="G121" s="24">
        <v>9560</v>
      </c>
      <c r="H121" s="24">
        <v>33849</v>
      </c>
      <c r="I121" s="24">
        <v>95617</v>
      </c>
      <c r="J121" s="24">
        <v>6464</v>
      </c>
      <c r="K121" s="24">
        <v>28696</v>
      </c>
    </row>
    <row r="122" spans="1:11">
      <c r="A122" s="23" t="s">
        <v>372</v>
      </c>
      <c r="B122" s="24" t="s">
        <v>377</v>
      </c>
      <c r="C122" s="24">
        <v>737</v>
      </c>
      <c r="D122" s="24" t="s">
        <v>373</v>
      </c>
      <c r="E122" s="24" t="s">
        <v>364</v>
      </c>
      <c r="F122" s="24">
        <v>91306</v>
      </c>
      <c r="G122" s="24">
        <v>4618</v>
      </c>
      <c r="H122" s="24">
        <v>25077</v>
      </c>
      <c r="I122" s="24">
        <v>103417</v>
      </c>
      <c r="J122" s="24">
        <v>3103</v>
      </c>
      <c r="K122" s="24">
        <v>32347</v>
      </c>
    </row>
    <row r="123" spans="1:11">
      <c r="A123" s="23" t="s">
        <v>372</v>
      </c>
      <c r="B123" s="24" t="s">
        <v>377</v>
      </c>
      <c r="C123" s="24">
        <v>737</v>
      </c>
      <c r="D123" s="24" t="s">
        <v>373</v>
      </c>
      <c r="E123" s="24" t="s">
        <v>365</v>
      </c>
      <c r="F123" s="24">
        <v>103932</v>
      </c>
      <c r="G123" s="24">
        <v>6118</v>
      </c>
      <c r="H123" s="24">
        <v>40238</v>
      </c>
      <c r="I123" s="24">
        <v>101817</v>
      </c>
      <c r="J123" s="24">
        <v>7111</v>
      </c>
      <c r="K123" s="24">
        <v>55261</v>
      </c>
    </row>
    <row r="124" spans="1:11">
      <c r="A124" s="23" t="s">
        <v>372</v>
      </c>
      <c r="B124" s="24" t="s">
        <v>377</v>
      </c>
      <c r="C124" s="24">
        <v>737</v>
      </c>
      <c r="D124" s="24" t="s">
        <v>373</v>
      </c>
      <c r="E124" s="24" t="s">
        <v>366</v>
      </c>
      <c r="F124" s="24">
        <v>80188</v>
      </c>
      <c r="G124" s="24">
        <v>6340</v>
      </c>
      <c r="H124" s="24">
        <v>38532</v>
      </c>
      <c r="I124" s="24">
        <v>151420</v>
      </c>
      <c r="J124" s="24">
        <v>10180</v>
      </c>
      <c r="K124" s="24">
        <v>62132</v>
      </c>
    </row>
    <row r="125" spans="1:11">
      <c r="A125" s="23" t="s">
        <v>372</v>
      </c>
      <c r="B125" s="24" t="s">
        <v>377</v>
      </c>
      <c r="C125" s="24">
        <v>737</v>
      </c>
      <c r="D125" s="24" t="s">
        <v>373</v>
      </c>
      <c r="E125" s="24" t="s">
        <v>367</v>
      </c>
      <c r="F125" s="24">
        <v>213218</v>
      </c>
      <c r="G125" s="24">
        <v>16115</v>
      </c>
      <c r="H125" s="24">
        <v>44923</v>
      </c>
      <c r="I125" s="24">
        <v>206423</v>
      </c>
      <c r="J125" s="24">
        <v>14674</v>
      </c>
      <c r="K125" s="24">
        <v>47216</v>
      </c>
    </row>
    <row r="126" spans="1:11">
      <c r="A126" s="23" t="s">
        <v>372</v>
      </c>
      <c r="B126" s="24" t="s">
        <v>377</v>
      </c>
      <c r="C126" s="24">
        <v>737</v>
      </c>
      <c r="D126" s="24" t="s">
        <v>373</v>
      </c>
      <c r="E126" s="24" t="s">
        <v>368</v>
      </c>
      <c r="F126" s="24">
        <v>97020</v>
      </c>
      <c r="G126" s="24">
        <v>10079</v>
      </c>
      <c r="H126" s="24">
        <v>35455</v>
      </c>
      <c r="I126" s="24">
        <v>131575</v>
      </c>
      <c r="J126" s="24">
        <v>9384</v>
      </c>
      <c r="K126" s="24">
        <v>42858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I19" sqref="I19"/>
    </sheetView>
  </sheetViews>
  <sheetFormatPr defaultColWidth="9" defaultRowHeight="14.4" outlineLevelCol="3"/>
  <cols>
    <col min="1" max="1" width="19.287037037037" customWidth="1"/>
    <col min="2" max="2" width="17.4259259259259" customWidth="1"/>
    <col min="3" max="3" width="21" customWidth="1"/>
    <col min="4" max="4" width="32.1388888888889" customWidth="1"/>
  </cols>
  <sheetData>
    <row r="1" ht="17.4" spans="1:4">
      <c r="A1" s="19" t="s">
        <v>378</v>
      </c>
      <c r="B1" s="19" t="s">
        <v>379</v>
      </c>
      <c r="C1" s="19" t="s">
        <v>380</v>
      </c>
      <c r="D1" s="19" t="s">
        <v>381</v>
      </c>
    </row>
    <row r="2" spans="1:4">
      <c r="A2" s="20" t="s">
        <v>382</v>
      </c>
      <c r="B2" s="20" t="s">
        <v>383</v>
      </c>
      <c r="C2" s="20">
        <v>-25</v>
      </c>
      <c r="D2" s="20" t="str">
        <f>IF(ABS(C2)&lt;=10,"Fair",IF(ABS(C2)&lt;=20,"Unfair","Highly Discriminative"))</f>
        <v>Highly Discriminative</v>
      </c>
    </row>
    <row r="3" spans="1:4">
      <c r="A3" s="20" t="s">
        <v>382</v>
      </c>
      <c r="B3" s="20" t="s">
        <v>384</v>
      </c>
      <c r="C3" s="20">
        <v>-26</v>
      </c>
      <c r="D3" s="20" t="str">
        <f t="shared" ref="D3:D38" si="0">IF(ABS(C3)&lt;=10,"Fair",IF(ABS(C3)&lt;=20,"Unfair","Highly Discriminative"))</f>
        <v>Highly Discriminative</v>
      </c>
    </row>
    <row r="4" spans="1:4">
      <c r="A4" s="20" t="s">
        <v>382</v>
      </c>
      <c r="B4" s="20" t="s">
        <v>258</v>
      </c>
      <c r="C4" s="20">
        <v>-19</v>
      </c>
      <c r="D4" s="20" t="str">
        <f t="shared" si="0"/>
        <v>Unfair</v>
      </c>
    </row>
    <row r="5" spans="1:4">
      <c r="A5" s="20" t="s">
        <v>382</v>
      </c>
      <c r="B5" s="20" t="s">
        <v>280</v>
      </c>
      <c r="C5" s="20">
        <v>-15</v>
      </c>
      <c r="D5" s="20" t="str">
        <f t="shared" si="0"/>
        <v>Unfair</v>
      </c>
    </row>
    <row r="6" spans="1:4">
      <c r="A6" s="20" t="s">
        <v>382</v>
      </c>
      <c r="B6" s="20" t="s">
        <v>275</v>
      </c>
      <c r="C6" s="20">
        <v>-14</v>
      </c>
      <c r="D6" s="20" t="str">
        <f t="shared" si="0"/>
        <v>Unfair</v>
      </c>
    </row>
    <row r="7" spans="1:4">
      <c r="A7" s="20" t="s">
        <v>382</v>
      </c>
      <c r="B7" s="20" t="s">
        <v>385</v>
      </c>
      <c r="C7" s="20">
        <v>-20</v>
      </c>
      <c r="D7" s="20" t="str">
        <f t="shared" si="0"/>
        <v>Unfair</v>
      </c>
    </row>
    <row r="8" spans="1:4">
      <c r="A8" s="20" t="s">
        <v>382</v>
      </c>
      <c r="B8" s="20" t="s">
        <v>386</v>
      </c>
      <c r="C8" s="20">
        <v>-5</v>
      </c>
      <c r="D8" s="20" t="str">
        <f t="shared" si="0"/>
        <v>Fair</v>
      </c>
    </row>
    <row r="9" spans="1:4">
      <c r="A9" s="20" t="s">
        <v>382</v>
      </c>
      <c r="B9" s="20" t="s">
        <v>387</v>
      </c>
      <c r="C9" s="20">
        <v>-8</v>
      </c>
      <c r="D9" s="20" t="str">
        <f t="shared" si="0"/>
        <v>Fair</v>
      </c>
    </row>
    <row r="10" spans="1:4">
      <c r="A10" s="20" t="s">
        <v>382</v>
      </c>
      <c r="B10" s="20" t="s">
        <v>388</v>
      </c>
      <c r="C10" s="20">
        <v>3</v>
      </c>
      <c r="D10" s="20" t="str">
        <f t="shared" si="0"/>
        <v>Fair</v>
      </c>
    </row>
    <row r="11" spans="1:4">
      <c r="A11" s="20" t="s">
        <v>382</v>
      </c>
      <c r="B11" s="20" t="s">
        <v>389</v>
      </c>
      <c r="C11" s="20">
        <v>-22</v>
      </c>
      <c r="D11" s="20" t="str">
        <f t="shared" si="0"/>
        <v>Highly Discriminative</v>
      </c>
    </row>
    <row r="12" spans="1:4">
      <c r="A12" s="20" t="s">
        <v>382</v>
      </c>
      <c r="B12" s="20" t="s">
        <v>390</v>
      </c>
      <c r="C12" s="20">
        <v>-7</v>
      </c>
      <c r="D12" s="20" t="str">
        <f t="shared" si="0"/>
        <v>Fair</v>
      </c>
    </row>
    <row r="13" spans="1:4">
      <c r="A13" s="20" t="s">
        <v>391</v>
      </c>
      <c r="B13" s="20" t="s">
        <v>384</v>
      </c>
      <c r="C13" s="20">
        <v>-19</v>
      </c>
      <c r="D13" s="20" t="str">
        <f t="shared" si="0"/>
        <v>Unfair</v>
      </c>
    </row>
    <row r="14" spans="1:4">
      <c r="A14" s="20" t="s">
        <v>391</v>
      </c>
      <c r="B14" s="20" t="s">
        <v>258</v>
      </c>
      <c r="C14" s="20">
        <v>-10</v>
      </c>
      <c r="D14" s="20" t="str">
        <f t="shared" si="0"/>
        <v>Fair</v>
      </c>
    </row>
    <row r="15" spans="1:4">
      <c r="A15" s="20" t="s">
        <v>391</v>
      </c>
      <c r="B15" s="20" t="s">
        <v>280</v>
      </c>
      <c r="C15" s="20">
        <v>-21</v>
      </c>
      <c r="D15" s="20" t="str">
        <f t="shared" si="0"/>
        <v>Highly Discriminative</v>
      </c>
    </row>
    <row r="16" spans="1:4">
      <c r="A16" s="20" t="s">
        <v>391</v>
      </c>
      <c r="B16" s="20" t="s">
        <v>275</v>
      </c>
      <c r="C16" s="20">
        <v>-21</v>
      </c>
      <c r="D16" s="20" t="str">
        <f t="shared" si="0"/>
        <v>Highly Discriminative</v>
      </c>
    </row>
    <row r="17" spans="1:4">
      <c r="A17" s="20" t="s">
        <v>391</v>
      </c>
      <c r="B17" s="20" t="s">
        <v>385</v>
      </c>
      <c r="C17" s="20">
        <v>-24</v>
      </c>
      <c r="D17" s="20" t="str">
        <f t="shared" si="0"/>
        <v>Highly Discriminative</v>
      </c>
    </row>
    <row r="18" spans="1:4">
      <c r="A18" s="20" t="s">
        <v>391</v>
      </c>
      <c r="B18" s="20" t="s">
        <v>386</v>
      </c>
      <c r="C18" s="20">
        <v>-4</v>
      </c>
      <c r="D18" s="20" t="str">
        <f t="shared" si="0"/>
        <v>Fair</v>
      </c>
    </row>
    <row r="19" spans="1:4">
      <c r="A19" s="20" t="s">
        <v>391</v>
      </c>
      <c r="B19" s="20" t="s">
        <v>387</v>
      </c>
      <c r="C19" s="20">
        <v>-7</v>
      </c>
      <c r="D19" s="20" t="str">
        <f t="shared" si="0"/>
        <v>Fair</v>
      </c>
    </row>
    <row r="20" spans="1:4">
      <c r="A20" s="20" t="s">
        <v>391</v>
      </c>
      <c r="B20" s="20" t="s">
        <v>388</v>
      </c>
      <c r="C20" s="20">
        <v>4</v>
      </c>
      <c r="D20" s="20" t="str">
        <f t="shared" si="0"/>
        <v>Fair</v>
      </c>
    </row>
    <row r="21" spans="1:4">
      <c r="A21" s="20" t="s">
        <v>391</v>
      </c>
      <c r="B21" s="20" t="s">
        <v>389</v>
      </c>
      <c r="C21" s="20">
        <v>-19</v>
      </c>
      <c r="D21" s="20" t="str">
        <f t="shared" si="0"/>
        <v>Unfair</v>
      </c>
    </row>
    <row r="22" spans="1:4">
      <c r="A22" s="20" t="s">
        <v>391</v>
      </c>
      <c r="B22" s="20" t="s">
        <v>390</v>
      </c>
      <c r="C22" s="20">
        <v>-5</v>
      </c>
      <c r="D22" s="20" t="str">
        <f t="shared" si="0"/>
        <v>Fair</v>
      </c>
    </row>
    <row r="23" spans="1:4">
      <c r="A23" s="20" t="s">
        <v>392</v>
      </c>
      <c r="B23" s="20" t="s">
        <v>280</v>
      </c>
      <c r="C23" s="20">
        <v>-15</v>
      </c>
      <c r="D23" s="20" t="str">
        <f t="shared" si="0"/>
        <v>Unfair</v>
      </c>
    </row>
    <row r="24" spans="1:4">
      <c r="A24" s="20" t="s">
        <v>392</v>
      </c>
      <c r="B24" s="20" t="s">
        <v>275</v>
      </c>
      <c r="C24" s="20">
        <v>-16</v>
      </c>
      <c r="D24" s="20" t="str">
        <f t="shared" si="0"/>
        <v>Unfair</v>
      </c>
    </row>
    <row r="25" spans="1:4">
      <c r="A25" s="20" t="s">
        <v>392</v>
      </c>
      <c r="B25" s="20" t="s">
        <v>385</v>
      </c>
      <c r="C25" s="20">
        <v>-17</v>
      </c>
      <c r="D25" s="20" t="str">
        <f t="shared" si="0"/>
        <v>Unfair</v>
      </c>
    </row>
    <row r="26" spans="1:4">
      <c r="A26" s="20" t="s">
        <v>392</v>
      </c>
      <c r="B26" s="20" t="s">
        <v>386</v>
      </c>
      <c r="C26" s="20">
        <v>4</v>
      </c>
      <c r="D26" s="20" t="str">
        <f t="shared" si="0"/>
        <v>Fair</v>
      </c>
    </row>
    <row r="27" spans="1:4">
      <c r="A27" s="20" t="s">
        <v>392</v>
      </c>
      <c r="B27" s="20" t="s">
        <v>387</v>
      </c>
      <c r="C27" s="20">
        <v>2</v>
      </c>
      <c r="D27" s="20" t="str">
        <f t="shared" si="0"/>
        <v>Fair</v>
      </c>
    </row>
    <row r="28" spans="1:4">
      <c r="A28" s="20" t="s">
        <v>392</v>
      </c>
      <c r="B28" s="20" t="s">
        <v>388</v>
      </c>
      <c r="C28" s="20">
        <v>4</v>
      </c>
      <c r="D28" s="20" t="str">
        <f t="shared" si="0"/>
        <v>Fair</v>
      </c>
    </row>
    <row r="29" spans="1:4">
      <c r="A29" s="20" t="s">
        <v>392</v>
      </c>
      <c r="B29" s="20" t="s">
        <v>389</v>
      </c>
      <c r="C29" s="20">
        <v>0</v>
      </c>
      <c r="D29" s="20" t="str">
        <f t="shared" si="0"/>
        <v>Fair</v>
      </c>
    </row>
    <row r="30" spans="1:4">
      <c r="A30" s="20" t="s">
        <v>392</v>
      </c>
      <c r="B30" s="20" t="s">
        <v>390</v>
      </c>
      <c r="C30" s="20">
        <v>-6</v>
      </c>
      <c r="D30" s="20" t="str">
        <f t="shared" si="0"/>
        <v>Fair</v>
      </c>
    </row>
    <row r="31" spans="1:4">
      <c r="A31" s="20" t="s">
        <v>393</v>
      </c>
      <c r="B31" s="20" t="s">
        <v>280</v>
      </c>
      <c r="C31" s="20">
        <v>-21</v>
      </c>
      <c r="D31" s="20" t="str">
        <f t="shared" si="0"/>
        <v>Highly Discriminative</v>
      </c>
    </row>
    <row r="32" spans="1:4">
      <c r="A32" s="20" t="s">
        <v>393</v>
      </c>
      <c r="B32" s="20" t="s">
        <v>275</v>
      </c>
      <c r="C32" s="20">
        <v>-19</v>
      </c>
      <c r="D32" s="20" t="str">
        <f t="shared" si="0"/>
        <v>Unfair</v>
      </c>
    </row>
    <row r="33" spans="1:4">
      <c r="A33" s="20" t="s">
        <v>393</v>
      </c>
      <c r="B33" s="20" t="s">
        <v>385</v>
      </c>
      <c r="C33" s="20">
        <v>-20</v>
      </c>
      <c r="D33" s="20" t="str">
        <f t="shared" si="0"/>
        <v>Unfair</v>
      </c>
    </row>
    <row r="34" spans="1:4">
      <c r="A34" s="20" t="s">
        <v>393</v>
      </c>
      <c r="B34" s="20" t="s">
        <v>386</v>
      </c>
      <c r="C34" s="20">
        <v>-5</v>
      </c>
      <c r="D34" s="20" t="str">
        <f t="shared" si="0"/>
        <v>Fair</v>
      </c>
    </row>
    <row r="35" spans="1:4">
      <c r="A35" s="20" t="s">
        <v>393</v>
      </c>
      <c r="B35" s="20" t="s">
        <v>387</v>
      </c>
      <c r="C35" s="20">
        <v>-4</v>
      </c>
      <c r="D35" s="20" t="str">
        <f t="shared" si="0"/>
        <v>Fair</v>
      </c>
    </row>
    <row r="36" spans="1:4">
      <c r="A36" s="20" t="s">
        <v>393</v>
      </c>
      <c r="B36" s="20" t="s">
        <v>388</v>
      </c>
      <c r="C36" s="20">
        <v>3</v>
      </c>
      <c r="D36" s="20" t="str">
        <f t="shared" si="0"/>
        <v>Fair</v>
      </c>
    </row>
    <row r="37" spans="1:4">
      <c r="A37" s="20" t="s">
        <v>393</v>
      </c>
      <c r="B37" s="20" t="s">
        <v>389</v>
      </c>
      <c r="C37" s="20">
        <v>-7</v>
      </c>
      <c r="D37" s="20" t="str">
        <f t="shared" si="0"/>
        <v>Fair</v>
      </c>
    </row>
    <row r="38" spans="1:4">
      <c r="A38" s="20" t="s">
        <v>393</v>
      </c>
      <c r="B38" s="20" t="s">
        <v>390</v>
      </c>
      <c r="C38" s="20">
        <v>-7</v>
      </c>
      <c r="D38" s="20" t="str">
        <f t="shared" si="0"/>
        <v>Fair</v>
      </c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H12" sqref="H12"/>
    </sheetView>
  </sheetViews>
  <sheetFormatPr defaultColWidth="9" defaultRowHeight="14.4"/>
  <cols>
    <col min="2" max="2" width="26.8518518518519" customWidth="1"/>
    <col min="3" max="3" width="5.57407407407407" customWidth="1"/>
    <col min="4" max="4" width="8.28703703703704" customWidth="1"/>
    <col min="5" max="5" width="6.57407407407407" customWidth="1"/>
    <col min="6" max="6" width="11" customWidth="1"/>
  </cols>
  <sheetData>
    <row r="1" spans="1:2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/>
      <c r="B4" s="10"/>
      <c r="C4" s="10"/>
      <c r="D4" s="10"/>
      <c r="E4" s="10"/>
      <c r="F4" s="10"/>
      <c r="G4" s="6"/>
      <c r="H4" s="6"/>
      <c r="I4" s="6" t="s">
        <v>394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3"/>
      <c r="B5" s="8" t="s">
        <v>353</v>
      </c>
      <c r="C5" s="8" t="s">
        <v>3</v>
      </c>
      <c r="D5" s="8" t="s">
        <v>395</v>
      </c>
      <c r="E5" s="8" t="s">
        <v>358</v>
      </c>
      <c r="F5" s="8" t="s">
        <v>396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13"/>
      <c r="B6" s="12" t="s">
        <v>362</v>
      </c>
      <c r="C6" s="12"/>
      <c r="D6" s="12"/>
      <c r="E6" s="12"/>
      <c r="F6" s="12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13"/>
      <c r="B7" s="12" t="s">
        <v>374</v>
      </c>
      <c r="C7" s="12"/>
      <c r="D7" s="12"/>
      <c r="E7" s="12"/>
      <c r="F7" s="1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13"/>
      <c r="B8" s="12" t="s">
        <v>375</v>
      </c>
      <c r="C8" s="12"/>
      <c r="D8" s="12"/>
      <c r="E8" s="12"/>
      <c r="F8" s="12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13"/>
      <c r="B9" s="12" t="s">
        <v>376</v>
      </c>
      <c r="C9" s="12"/>
      <c r="D9" s="12"/>
      <c r="E9" s="12"/>
      <c r="F9" s="1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13"/>
      <c r="B10" s="12" t="s">
        <v>377</v>
      </c>
      <c r="C10" s="12"/>
      <c r="D10" s="12"/>
      <c r="E10" s="12"/>
      <c r="F10" s="1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18" t="s">
        <v>397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L10" sqref="L10"/>
    </sheetView>
  </sheetViews>
  <sheetFormatPr defaultColWidth="9" defaultRowHeight="14.4"/>
  <sheetData>
    <row r="1" spans="1:2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 t="s">
        <v>398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M11" sqref="M11"/>
    </sheetView>
  </sheetViews>
  <sheetFormatPr defaultColWidth="9" defaultRowHeight="14.4"/>
  <cols>
    <col min="2" max="2" width="20.4259259259259" customWidth="1"/>
  </cols>
  <sheetData>
    <row r="1" spans="1:2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6"/>
      <c r="B3" s="6" t="s">
        <v>399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/>
      <c r="B4" s="10"/>
      <c r="C4" s="10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3"/>
      <c r="B5" s="8" t="s">
        <v>400</v>
      </c>
      <c r="C5" s="1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13"/>
      <c r="B6" s="8" t="s">
        <v>401</v>
      </c>
      <c r="C6" s="1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 t="s">
        <v>402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10"/>
      <c r="C10" s="10"/>
      <c r="D10" s="10"/>
      <c r="E10" s="10"/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13"/>
      <c r="B11" s="8" t="s">
        <v>403</v>
      </c>
      <c r="C11" s="8" t="s">
        <v>354</v>
      </c>
      <c r="D11" s="8" t="s">
        <v>404</v>
      </c>
      <c r="E11" s="8" t="s">
        <v>405</v>
      </c>
      <c r="F11" s="8" t="s">
        <v>406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13"/>
      <c r="B12" s="12" t="s">
        <v>369</v>
      </c>
      <c r="C12" s="12"/>
      <c r="D12" s="12"/>
      <c r="E12" s="12"/>
      <c r="F12" s="1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13"/>
      <c r="B13" s="12" t="s">
        <v>363</v>
      </c>
      <c r="C13" s="12"/>
      <c r="D13" s="12"/>
      <c r="E13" s="12"/>
      <c r="F13" s="12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13"/>
      <c r="B14" s="12" t="s">
        <v>373</v>
      </c>
      <c r="C14" s="12"/>
      <c r="D14" s="12"/>
      <c r="E14" s="12"/>
      <c r="F14" s="12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 t="s">
        <v>407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 t="s">
        <v>408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13"/>
      <c r="B20" s="17" t="s">
        <v>352</v>
      </c>
      <c r="C20" s="17" t="s">
        <v>353</v>
      </c>
      <c r="D20" s="17" t="s">
        <v>354</v>
      </c>
      <c r="E20" s="17" t="s">
        <v>355</v>
      </c>
      <c r="F20" s="17" t="s">
        <v>356</v>
      </c>
      <c r="G20" s="17" t="s">
        <v>3</v>
      </c>
      <c r="H20" s="17" t="s">
        <v>357</v>
      </c>
      <c r="I20" s="17" t="s">
        <v>358</v>
      </c>
      <c r="J20" s="17" t="s">
        <v>409</v>
      </c>
      <c r="K20" s="17" t="s">
        <v>410</v>
      </c>
      <c r="L20" s="17" t="s">
        <v>411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1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G1" workbookViewId="0">
      <selection activeCell="B3" sqref="B3:D12"/>
    </sheetView>
  </sheetViews>
  <sheetFormatPr defaultColWidth="9" defaultRowHeight="14.4"/>
  <cols>
    <col min="2" max="2" width="72.8518518518518" customWidth="1"/>
    <col min="3" max="3" width="10" customWidth="1"/>
    <col min="4" max="4" width="8.13888888888889" customWidth="1"/>
    <col min="13" max="13" width="66.8518518518518" customWidth="1"/>
    <col min="14" max="14" width="12.712962962963" customWidth="1"/>
    <col min="17" max="17" width="10.712962962963" customWidth="1"/>
    <col min="18" max="18" width="9.28703703703704" customWidth="1"/>
    <col min="19" max="19" width="4" customWidth="1"/>
  </cols>
  <sheetData>
    <row r="1" spans="1:2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7"/>
      <c r="C2" s="7"/>
      <c r="D2" s="7"/>
      <c r="E2" s="6"/>
      <c r="F2" s="6"/>
      <c r="G2" s="6"/>
      <c r="H2" s="6"/>
      <c r="I2" s="6"/>
      <c r="J2" s="6"/>
      <c r="K2" s="6"/>
      <c r="L2" s="6"/>
      <c r="M2" s="6" t="s">
        <v>412</v>
      </c>
      <c r="N2" s="6"/>
      <c r="O2" s="6"/>
      <c r="P2" s="6"/>
      <c r="Q2" s="6" t="s">
        <v>413</v>
      </c>
      <c r="R2" s="6"/>
      <c r="S2" s="6"/>
      <c r="T2" s="6"/>
      <c r="U2" s="6"/>
      <c r="V2" s="6"/>
      <c r="W2" s="6"/>
      <c r="X2" s="6"/>
      <c r="Y2" s="6"/>
      <c r="Z2" s="6"/>
    </row>
    <row r="3" ht="15.6" spans="1:26">
      <c r="A3" s="7"/>
      <c r="B3" s="8" t="s">
        <v>414</v>
      </c>
      <c r="C3" s="8" t="s">
        <v>415</v>
      </c>
      <c r="D3" s="9" t="s">
        <v>416</v>
      </c>
      <c r="E3" s="6"/>
      <c r="F3" s="6"/>
      <c r="G3" s="6"/>
      <c r="H3" s="6"/>
      <c r="I3" s="6"/>
      <c r="J3" s="6"/>
      <c r="K3" s="6"/>
      <c r="L3" s="6"/>
      <c r="M3" s="10"/>
      <c r="N3" s="10"/>
      <c r="O3" s="6"/>
      <c r="P3" s="6"/>
      <c r="Q3" s="10"/>
      <c r="R3" s="10"/>
      <c r="S3" s="10"/>
      <c r="T3" s="6"/>
      <c r="U3" s="6"/>
      <c r="V3" s="6"/>
      <c r="W3" s="6"/>
      <c r="X3" s="11" t="s">
        <v>417</v>
      </c>
      <c r="Y3" s="6"/>
      <c r="Z3" s="6"/>
    </row>
    <row r="4" ht="15.15" spans="1:26">
      <c r="A4" s="7"/>
      <c r="B4" s="12" t="s">
        <v>418</v>
      </c>
      <c r="C4" s="12" t="s">
        <v>307</v>
      </c>
      <c r="D4" s="10">
        <v>70</v>
      </c>
      <c r="E4" s="6"/>
      <c r="F4" s="6"/>
      <c r="G4" s="6"/>
      <c r="H4" s="6"/>
      <c r="I4" s="6"/>
      <c r="J4" s="6"/>
      <c r="K4" s="6"/>
      <c r="L4" s="13"/>
      <c r="M4" s="8" t="s">
        <v>419</v>
      </c>
      <c r="N4" s="8" t="s">
        <v>420</v>
      </c>
      <c r="O4" s="6"/>
      <c r="P4" s="13"/>
      <c r="Q4" s="8" t="s">
        <v>421</v>
      </c>
      <c r="R4" s="8" t="s">
        <v>419</v>
      </c>
      <c r="S4" s="8" t="s">
        <v>422</v>
      </c>
      <c r="T4" s="6"/>
      <c r="U4" s="6"/>
      <c r="V4" s="6"/>
      <c r="W4" s="6"/>
      <c r="X4" s="14" t="s">
        <v>423</v>
      </c>
      <c r="Y4" s="6"/>
      <c r="Z4" s="14" t="s">
        <v>424</v>
      </c>
    </row>
    <row r="5" ht="15.9" spans="1:26">
      <c r="A5" s="7"/>
      <c r="B5" s="12" t="s">
        <v>418</v>
      </c>
      <c r="C5" s="12" t="s">
        <v>310</v>
      </c>
      <c r="D5" s="10">
        <v>68</v>
      </c>
      <c r="E5" s="6"/>
      <c r="F5" s="6"/>
      <c r="G5" s="6"/>
      <c r="H5" s="6"/>
      <c r="I5" s="6"/>
      <c r="J5" s="6"/>
      <c r="K5" s="6"/>
      <c r="L5" s="13"/>
      <c r="M5" s="12">
        <v>1</v>
      </c>
      <c r="N5" s="12" t="s">
        <v>425</v>
      </c>
      <c r="O5" s="6"/>
      <c r="P5" s="13"/>
      <c r="Q5" s="12">
        <v>101</v>
      </c>
      <c r="R5" s="12">
        <v>1</v>
      </c>
      <c r="S5" s="12">
        <v>100</v>
      </c>
      <c r="T5" s="6"/>
      <c r="U5" s="6"/>
      <c r="V5" s="6"/>
      <c r="W5" s="15"/>
      <c r="X5" s="16" t="s">
        <v>426</v>
      </c>
      <c r="Y5" s="15"/>
      <c r="Z5" s="16" t="s">
        <v>426</v>
      </c>
    </row>
    <row r="6" ht="15.15" spans="1:26">
      <c r="A6" s="7"/>
      <c r="B6" s="12" t="s">
        <v>418</v>
      </c>
      <c r="C6" s="12" t="s">
        <v>427</v>
      </c>
      <c r="D6" s="10">
        <v>32</v>
      </c>
      <c r="E6" s="6"/>
      <c r="F6" s="6"/>
      <c r="G6" s="6"/>
      <c r="H6" s="6"/>
      <c r="I6" s="6"/>
      <c r="J6" s="6"/>
      <c r="K6" s="6"/>
      <c r="L6" s="13"/>
      <c r="M6" s="12">
        <v>2</v>
      </c>
      <c r="N6" s="12" t="s">
        <v>428</v>
      </c>
      <c r="O6" s="6"/>
      <c r="P6" s="13"/>
      <c r="Q6" s="12">
        <v>102</v>
      </c>
      <c r="R6" s="12">
        <v>3</v>
      </c>
      <c r="S6" s="12">
        <v>30</v>
      </c>
      <c r="T6" s="6"/>
      <c r="U6" s="6"/>
      <c r="V6" s="6"/>
      <c r="W6" s="13"/>
      <c r="X6" s="12">
        <v>1</v>
      </c>
      <c r="Y6" s="13"/>
      <c r="Z6" s="12">
        <v>1</v>
      </c>
    </row>
    <row r="7" spans="1:26">
      <c r="A7" s="7"/>
      <c r="B7" s="12" t="s">
        <v>429</v>
      </c>
      <c r="C7" s="12" t="s">
        <v>307</v>
      </c>
      <c r="D7" s="10">
        <v>91</v>
      </c>
      <c r="E7" s="6"/>
      <c r="F7" s="6"/>
      <c r="G7" s="6"/>
      <c r="H7" s="6"/>
      <c r="I7" s="6"/>
      <c r="J7" s="6"/>
      <c r="K7" s="6"/>
      <c r="L7" s="13"/>
      <c r="M7" s="12">
        <v>3</v>
      </c>
      <c r="N7" s="12" t="s">
        <v>430</v>
      </c>
      <c r="O7" s="6"/>
      <c r="P7" s="13"/>
      <c r="Q7" s="12">
        <v>103</v>
      </c>
      <c r="R7" s="12">
        <v>1</v>
      </c>
      <c r="S7" s="12">
        <v>40</v>
      </c>
      <c r="T7" s="6"/>
      <c r="U7" s="6"/>
      <c r="V7" s="6"/>
      <c r="W7" s="13"/>
      <c r="X7" s="12">
        <v>0</v>
      </c>
      <c r="Y7" s="13"/>
      <c r="Z7" s="12">
        <v>0</v>
      </c>
    </row>
    <row r="8" spans="1:26">
      <c r="A8" s="7"/>
      <c r="B8" s="12" t="s">
        <v>429</v>
      </c>
      <c r="C8" s="12" t="s">
        <v>310</v>
      </c>
      <c r="D8" s="10">
        <v>43</v>
      </c>
      <c r="E8" s="6"/>
      <c r="F8" s="6"/>
      <c r="G8" s="6"/>
      <c r="H8" s="6"/>
      <c r="I8" s="6"/>
      <c r="J8" s="6"/>
      <c r="K8" s="6"/>
      <c r="L8" s="13"/>
      <c r="M8" s="12">
        <v>4</v>
      </c>
      <c r="N8" s="12" t="s">
        <v>431</v>
      </c>
      <c r="O8" s="6"/>
      <c r="P8" s="6"/>
      <c r="Q8" s="6"/>
      <c r="R8" s="6"/>
      <c r="S8" s="6"/>
      <c r="T8" s="6"/>
      <c r="U8" s="6"/>
      <c r="V8" s="6"/>
      <c r="W8" s="13"/>
      <c r="X8" s="12">
        <v>1</v>
      </c>
      <c r="Y8" s="13"/>
      <c r="Z8" s="12">
        <v>2</v>
      </c>
    </row>
    <row r="9" spans="1:26">
      <c r="A9" s="7"/>
      <c r="B9" s="12" t="s">
        <v>429</v>
      </c>
      <c r="C9" s="12" t="s">
        <v>427</v>
      </c>
      <c r="D9" s="10">
        <v>24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3"/>
      <c r="Z9" s="12">
        <v>1</v>
      </c>
    </row>
    <row r="10" spans="1:26">
      <c r="A10" s="7"/>
      <c r="B10" s="12" t="s">
        <v>432</v>
      </c>
      <c r="C10" s="12" t="s">
        <v>307</v>
      </c>
      <c r="D10" s="10">
        <v>56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7"/>
      <c r="B11" s="12" t="s">
        <v>432</v>
      </c>
      <c r="C11" s="12" t="s">
        <v>310</v>
      </c>
      <c r="D11" s="10">
        <v>55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7"/>
      <c r="B12" s="13" t="s">
        <v>432</v>
      </c>
      <c r="C12" s="13" t="s">
        <v>427</v>
      </c>
      <c r="D12" s="7">
        <v>79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 t="s">
        <v>433</v>
      </c>
      <c r="Y13" s="6"/>
      <c r="Z13" s="6"/>
    </row>
    <row r="14" spans="1:26">
      <c r="A14" s="6"/>
      <c r="B14" s="6" t="s">
        <v>434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 t="s">
        <v>435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 t="s">
        <v>436</v>
      </c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 t="s">
        <v>437</v>
      </c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opLeftCell="D1" workbookViewId="0">
      <selection activeCell="H1" sqref="H1"/>
    </sheetView>
  </sheetViews>
  <sheetFormatPr defaultColWidth="9" defaultRowHeight="14.4" outlineLevelCol="7"/>
  <cols>
    <col min="1" max="1" width="27.5740740740741" customWidth="1"/>
    <col min="2" max="2" width="18" customWidth="1"/>
    <col min="3" max="3" width="16.8518518518519" customWidth="1"/>
    <col min="4" max="4" width="16" customWidth="1"/>
    <col min="5" max="5" width="22.8518518518519" customWidth="1"/>
    <col min="6" max="6" width="33.4259259259259" customWidth="1"/>
    <col min="7" max="7" width="21.287037037037" customWidth="1"/>
    <col min="8" max="8" width="29.4259259259259" customWidth="1"/>
  </cols>
  <sheetData>
    <row r="1" ht="21" spans="1:8">
      <c r="A1" s="1" t="s">
        <v>329</v>
      </c>
      <c r="B1" s="2" t="s">
        <v>25</v>
      </c>
      <c r="C1" s="2" t="s">
        <v>3</v>
      </c>
      <c r="D1" s="2" t="s">
        <v>286</v>
      </c>
      <c r="E1" s="2" t="s">
        <v>287</v>
      </c>
      <c r="G1" s="3" t="s">
        <v>329</v>
      </c>
      <c r="H1" s="4" t="s">
        <v>3</v>
      </c>
    </row>
    <row r="2" spans="1:8">
      <c r="A2" t="s">
        <v>259</v>
      </c>
      <c r="B2" s="5" t="str" cm="1">
        <f t="array" ref="B2:E2">VLOOKUP(A2,Employee!A1:E26,{2,3,4,5},0)</f>
        <v>Bella Wu</v>
      </c>
      <c r="C2" s="5">
        <v>5000</v>
      </c>
      <c r="D2" s="5">
        <v>7000</v>
      </c>
      <c r="E2" s="5">
        <v>100</v>
      </c>
      <c r="G2" t="s">
        <v>277</v>
      </c>
      <c r="H2">
        <f>INDEX(Employee!$A$1:$E$26,MATCH(Vlookup!$G$2,Employee!$A:$A,0),MATCH(Vlookup!H1,Employee!$A$1:$E$1,0))</f>
        <v>3000</v>
      </c>
    </row>
    <row r="4" spans="1:8">
      <c r="B4" t="str" cm="1">
        <f t="array" ref="B4:E4">_xlfn.XLOOKUP($A$2,Employee!$A$1:$A$26,Employee!B1:E26)</f>
        <v>Bella Wu</v>
      </c>
      <c r="C4">
        <v>5000</v>
      </c>
      <c r="D4">
        <v>7000</v>
      </c>
      <c r="E4">
        <v>100</v>
      </c>
    </row>
    <row r="6" spans="1:8">
      <c r="B6" t="str">
        <f>VLOOKUP($A$2,Employee!$A$1:$E$26,COLUMNS(Employee!$A$1:B1),0)</f>
        <v>Bella Wu</v>
      </c>
      <c r="C6">
        <f>VLOOKUP($A$2,Employee!$A$1:$E$26,COLUMNS(Employee!$A$1:C1),0)</f>
        <v>5000</v>
      </c>
      <c r="D6">
        <f>VLOOKUP($A$2,Employee!$A$1:$E$26,COLUMNS(Employee!$A$1:D1),0)</f>
        <v>7000</v>
      </c>
      <c r="E6">
        <f>VLOOKUP($A$2,Employee!$A$1:$E$26,COLUMNS(Employee!$A$1:E1),0)</f>
        <v>100</v>
      </c>
    </row>
    <row r="9" spans="1:8">
      <c r="B9" t="str" cm="1">
        <f t="array" ref="B9:E9">_xlfn.XLOOKUP($A$2,Employee!$A$1:$A$26,Employee!B1:$E$26)</f>
        <v>Bella Wu</v>
      </c>
      <c r="C9">
        <v>5000</v>
      </c>
      <c r="D9">
        <v>7000</v>
      </c>
      <c r="E9">
        <v>100</v>
      </c>
    </row>
    <row r="11" spans="1:8">
      <c r="B11">
        <f>MATCH(B1,A1:E1,0)</f>
        <v>2</v>
      </c>
    </row>
    <row r="12" spans="1:8">
      <c r="B12" t="str" cm="1">
        <f t="array" ref="B12:E12">_xlfn.XLOOKUP(A2,Employee!A1:A26,Employee!B1:E26,"Value not Found")</f>
        <v>Bella Wu</v>
      </c>
      <c r="C12">
        <v>5000</v>
      </c>
      <c r="D12">
        <v>7000</v>
      </c>
      <c r="E12">
        <v>100</v>
      </c>
    </row>
    <row r="14" spans="1:8">
      <c r="B14" t="str">
        <f>INDEX(Employee!$A$1:$E$26,MATCH(Vlookup!$A$2,Employee!$A$1:$A$26,0),MATCH(Vlookup!B1,Employee!$A$1:$E$1,0))</f>
        <v>Bella Wu</v>
      </c>
      <c r="C14">
        <f>INDEX(Employee!$A$1:$E$26,MATCH(Vlookup!$A$2,Employee!$A$1:$A$26,0),MATCH(Vlookup!C1,Employee!$A$1:$E$1,0))</f>
        <v>5000</v>
      </c>
      <c r="D14">
        <f>INDEX(Employee!$A$1:$E$26,MATCH(Vlookup!$A$2,Employee!$A$1:$A$26,0),MATCH(Vlookup!D1,Employee!$A$1:$E$1,0))</f>
        <v>7000</v>
      </c>
      <c r="E14">
        <f>INDEX(Employee!$A$1:$E$26,MATCH(Vlookup!$A$2,Employee!$A$1:$A$26,0),MATCH(Vlookup!E1,Employee!$A$1:$E$1,0))</f>
        <v>100</v>
      </c>
    </row>
  </sheetData>
  <dataValidations count="2">
    <dataValidation type="list" allowBlank="1" showInputMessage="1" showErrorMessage="1" sqref="H1">
      <formula1>Employee!$A$1:$E$1</formula1>
    </dataValidation>
    <dataValidation type="list" allowBlank="1" showInputMessage="1" showErrorMessage="1" sqref="A2 G2">
      <formula1>Employee!$A$1:$A$26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SellersNew</vt:lpstr>
      <vt:lpstr>PivotTable</vt:lpstr>
      <vt:lpstr>Sell_Data</vt:lpstr>
      <vt:lpstr>Sellers Data</vt:lpstr>
      <vt:lpstr>Sheet1</vt:lpstr>
      <vt:lpstr>Sheet13</vt:lpstr>
      <vt:lpstr>School-Result</vt:lpstr>
      <vt:lpstr>Sheet11</vt:lpstr>
      <vt:lpstr>Sheet4</vt:lpstr>
      <vt:lpstr>Employee</vt:lpstr>
      <vt:lpstr>Shakra-Practice-Test-1</vt:lpstr>
      <vt:lpstr>Shakra-Practise-Test-2</vt:lpstr>
      <vt:lpstr>Equality Class</vt:lpstr>
      <vt:lpstr>Task-2</vt:lpstr>
      <vt:lpstr>Task-3</vt:lpstr>
      <vt:lpstr>Task-1</vt:lpstr>
      <vt:lpstr>Task-4</vt:lpstr>
      <vt:lpstr>Vlookup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</cp:lastModifiedBy>
  <dcterms:created xsi:type="dcterms:W3CDTF">2023-05-04T23:06:00Z</dcterms:created>
  <dcterms:modified xsi:type="dcterms:W3CDTF">2026-05-01T09:32:52Z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D559B9E3E1B74E86A94E34800D88956A_12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